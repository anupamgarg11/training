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Daily Log" sheetId="2" state="visible" r:id="rId2"/>
    <sheet name="The Sequence" sheetId="3" state="visible" r:id="rId3"/>
    <sheet name="17-Week Plan" sheetId="4" state="visible" r:id="rId4"/>
    <sheet name="Meals" sheetId="5" state="visible" r:id="rId5"/>
    <sheet name="Shopping" sheetId="6" state="visible" r:id="rId6"/>
  </sheets>
  <definedNames>
    <definedName name="_xlnm._FilterDatabase" localSheetId="1" hidden="1">'Daily Log'!$A$4:$N$123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&quot;kg&quot;"/>
    <numFmt numFmtId="165" formatCode="0.0"/>
  </numFmts>
  <fonts count="28">
    <font>
      <name val="Calibri"/>
      <family val="2"/>
      <color theme="1"/>
      <sz val="11"/>
      <scheme val="minor"/>
    </font>
    <font>
      <name val="Calibri"/>
      <b val="1"/>
      <color rgb="FF1F3251"/>
      <sz val="16"/>
    </font>
    <font>
      <i val="1"/>
      <color rgb="FF7C8683"/>
      <sz val="10"/>
    </font>
    <font>
      <b val="1"/>
      <color rgb="FF1F3251"/>
      <sz val="11"/>
    </font>
    <font>
      <b val="1"/>
      <color rgb="FF7C8683"/>
      <sz val="8"/>
    </font>
    <font>
      <b val="1"/>
      <color rgb="FFC2542B"/>
      <sz val="20"/>
    </font>
    <font>
      <b val="1"/>
      <color rgb="FF1F3251"/>
      <sz val="20"/>
    </font>
    <font>
      <b val="1"/>
      <color rgb="FF2E7D6E"/>
      <sz val="20"/>
    </font>
    <font>
      <b val="1"/>
      <color rgb="FFB8860B"/>
      <sz val="20"/>
    </font>
    <font>
      <name val="Calibri"/>
      <b val="1"/>
      <color rgb="FFFFFFFF"/>
      <sz val="9"/>
    </font>
    <font>
      <sz val="10"/>
    </font>
    <font>
      <b val="1"/>
      <color rgb="FF15181A"/>
      <sz val="10"/>
    </font>
    <font>
      <b val="1"/>
      <color rgb="FF2E7D6E"/>
      <sz val="10"/>
    </font>
    <font>
      <color rgb="FF7C8683"/>
      <sz val="9"/>
    </font>
    <font>
      <b val="1"/>
      <color rgb="FFC2542B"/>
      <sz val="10"/>
    </font>
    <font>
      <b val="1"/>
      <color rgb="FF3F5487"/>
      <sz val="10"/>
    </font>
    <font>
      <b val="1"/>
      <color rgb="FF7C8683"/>
      <sz val="10"/>
    </font>
    <font>
      <b val="1"/>
      <color rgb="FFC2542B"/>
      <sz val="9"/>
    </font>
    <font>
      <b val="1"/>
      <color rgb="FFC2542B"/>
      <sz val="11"/>
    </font>
    <font>
      <sz val="9"/>
    </font>
    <font>
      <b val="1"/>
      <color rgb="FF7C8683"/>
      <sz val="9"/>
    </font>
    <font>
      <color rgb="FF7C8683"/>
      <sz val="8"/>
    </font>
    <font>
      <b val="1"/>
      <color rgb="FF3F5487"/>
      <sz val="9"/>
    </font>
    <font>
      <b val="1"/>
      <color rgb="FF2E7D6E"/>
      <sz val="9"/>
    </font>
    <font>
      <b val="1"/>
      <color rgb="FF1F3251"/>
      <sz val="16"/>
    </font>
    <font>
      <b val="1"/>
      <color rgb="FFFFFFFF"/>
      <sz val="9"/>
    </font>
    <font>
      <b val="1"/>
      <color rgb="FF1F3251"/>
      <sz val="10"/>
    </font>
    <font>
      <b val="1"/>
      <color rgb="FF15181A"/>
      <sz val="9"/>
    </font>
  </fonts>
  <fills count="9">
    <fill>
      <patternFill/>
    </fill>
    <fill>
      <patternFill patternType="gray125"/>
    </fill>
    <fill>
      <patternFill patternType="solid">
        <fgColor rgb="FFF2F4F6"/>
      </patternFill>
    </fill>
    <fill>
      <patternFill patternType="solid">
        <fgColor rgb="FF1F3251"/>
      </patternFill>
    </fill>
    <fill>
      <patternFill patternType="solid">
        <fgColor rgb="FFF8E1DA"/>
      </patternFill>
    </fill>
    <fill>
      <patternFill patternType="solid">
        <fgColor rgb="FFF0F2F0"/>
      </patternFill>
    </fill>
    <fill>
      <patternFill patternType="solid">
        <fgColor rgb="FFFDF3E3"/>
      </patternFill>
    </fill>
    <fill>
      <patternFill patternType="solid">
        <fgColor rgb="FFFBE4DA"/>
      </patternFill>
    </fill>
    <fill>
      <patternFill patternType="solid">
        <fgColor rgb="FFE8EDF2"/>
      </patternFill>
    </fill>
  </fills>
  <borders count="7">
    <border>
      <left/>
      <right/>
      <top/>
      <bottom/>
      <diagonal/>
    </border>
    <border>
      <left style="thin">
        <color rgb="FFD8DEE3"/>
      </left>
      <right style="thin">
        <color rgb="FFD8DEE3"/>
      </right>
      <top style="thin">
        <color rgb="FFD8DEE3"/>
      </top>
      <bottom style="thin">
        <color rgb="FFD8DEE3"/>
      </bottom>
    </border>
    <border>
      <bottom style="medium">
        <color rgb="FF1F3251"/>
      </bottom>
    </border>
    <border>
      <left/>
      <right/>
      <top style="thin">
        <color rgb="FFD8DEE3"/>
      </top>
      <bottom/>
      <diagonal/>
    </border>
    <border>
      <left/>
      <right style="thin">
        <color rgb="FFD8DEE3"/>
      </right>
      <top style="thin">
        <color rgb="FFD8DEE3"/>
      </top>
      <bottom/>
      <diagonal/>
    </border>
    <border>
      <left/>
      <right/>
      <top style="thin">
        <color rgb="FFD8DEE3"/>
      </top>
      <bottom style="thin">
        <color rgb="FFD8DEE3"/>
      </bottom>
      <diagonal/>
    </border>
    <border>
      <left/>
      <right style="thin">
        <color rgb="FFD8DEE3"/>
      </right>
      <top style="thin">
        <color rgb="FFD8DEE3"/>
      </top>
      <bottom style="thin">
        <color rgb="FFD8DEE3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1" applyAlignment="1" pivotButton="0" quotePrefix="0" xfId="0">
      <alignment horizontal="center"/>
    </xf>
    <xf numFmtId="1" fontId="5" fillId="2" borderId="1" applyAlignment="1" pivotButton="0" quotePrefix="0" xfId="0">
      <alignment horizontal="center"/>
    </xf>
    <xf numFmtId="1" fontId="6" fillId="2" borderId="1" applyAlignment="1" pivotButton="0" quotePrefix="0" xfId="0">
      <alignment horizontal="center"/>
    </xf>
    <xf numFmtId="1" fontId="7" fillId="2" borderId="1" applyAlignment="1" pivotButton="0" quotePrefix="0" xfId="0">
      <alignment horizontal="center"/>
    </xf>
    <xf numFmtId="164" fontId="6" fillId="2" borderId="1" applyAlignment="1" pivotButton="0" quotePrefix="0" xfId="0">
      <alignment horizontal="center"/>
    </xf>
    <xf numFmtId="165" fontId="8" fillId="2" borderId="1" applyAlignment="1" pivotButton="0" quotePrefix="0" xfId="0">
      <alignment horizontal="center"/>
    </xf>
    <xf numFmtId="165" fontId="7" fillId="2" borderId="1" applyAlignment="1" pivotButton="0" quotePrefix="0" xfId="0">
      <alignment horizontal="center"/>
    </xf>
    <xf numFmtId="0" fontId="9" fillId="3" borderId="2" applyAlignment="1" pivotButton="0" quotePrefix="0" xfId="0">
      <alignment horizontal="left" vertical="center" wrapText="1"/>
    </xf>
    <xf numFmtId="0" fontId="10" fillId="0" borderId="1" pivotButton="0" quotePrefix="0" xfId="0"/>
    <xf numFmtId="0" fontId="11" fillId="0" borderId="1" pivotButton="0" quotePrefix="0" xfId="0"/>
    <xf numFmtId="0" fontId="12" fillId="0" borderId="1" pivotButton="0" quotePrefix="0" xfId="0"/>
    <xf numFmtId="0" fontId="13" fillId="0" borderId="1" pivotButton="0" quotePrefix="0" xfId="0"/>
    <xf numFmtId="0" fontId="10" fillId="2" borderId="1" pivotButton="0" quotePrefix="0" xfId="0"/>
    <xf numFmtId="0" fontId="11" fillId="2" borderId="1" pivotButton="0" quotePrefix="0" xfId="0"/>
    <xf numFmtId="0" fontId="12" fillId="2" borderId="1" pivotButton="0" quotePrefix="0" xfId="0"/>
    <xf numFmtId="0" fontId="13" fillId="2" borderId="1" pivotButton="0" quotePrefix="0" xfId="0"/>
    <xf numFmtId="0" fontId="14" fillId="0" borderId="1" applyAlignment="1" pivotButton="0" quotePrefix="0" xfId="0">
      <alignment horizontal="center"/>
    </xf>
    <xf numFmtId="0" fontId="0" fillId="0" borderId="1" pivotButton="0" quotePrefix="0" xfId="0"/>
    <xf numFmtId="0" fontId="17" fillId="0" borderId="0" pivotButton="0" quotePrefix="0" xfId="0"/>
    <xf numFmtId="0" fontId="15" fillId="0" borderId="1" applyAlignment="1" pivotButton="0" quotePrefix="0" xfId="0">
      <alignment horizontal="center"/>
    </xf>
    <xf numFmtId="0" fontId="12" fillId="0" borderId="1" applyAlignment="1" pivotButton="0" quotePrefix="0" xfId="0">
      <alignment horizontal="center"/>
    </xf>
    <xf numFmtId="0" fontId="13" fillId="0" borderId="0" pivotButton="0" quotePrefix="0" xfId="0"/>
    <xf numFmtId="0" fontId="16" fillId="0" borderId="1" applyAlignment="1" pivotButton="0" quotePrefix="0" xfId="0">
      <alignment horizontal="center"/>
    </xf>
    <xf numFmtId="0" fontId="18" fillId="0" borderId="0" pivotButton="0" quotePrefix="0" xfId="0"/>
    <xf numFmtId="0" fontId="10" fillId="4" borderId="1" pivotButton="0" quotePrefix="0" xfId="0"/>
    <xf numFmtId="0" fontId="19" fillId="5" borderId="1" applyAlignment="1" pivotButton="0" quotePrefix="0" xfId="0">
      <alignment vertical="center"/>
    </xf>
    <xf numFmtId="0" fontId="20" fillId="5" borderId="1" applyAlignment="1" pivotButton="0" quotePrefix="0" xfId="0">
      <alignment vertical="center"/>
    </xf>
    <xf numFmtId="0" fontId="19" fillId="5" borderId="1" applyAlignment="1" pivotButton="0" quotePrefix="0" xfId="0">
      <alignment horizontal="center" vertical="center"/>
    </xf>
    <xf numFmtId="0" fontId="21" fillId="5" borderId="1" applyAlignment="1" pivotButton="0" quotePrefix="0" xfId="0">
      <alignment vertical="center" wrapText="1"/>
    </xf>
    <xf numFmtId="0" fontId="19" fillId="5" borderId="1" applyAlignment="1" pivotButton="0" quotePrefix="0" xfId="0">
      <alignment vertical="center" wrapText="1"/>
    </xf>
    <xf numFmtId="0" fontId="19" fillId="0" borderId="1" applyAlignment="1" pivotButton="0" quotePrefix="0" xfId="0">
      <alignment vertical="center"/>
    </xf>
    <xf numFmtId="0" fontId="17" fillId="0" borderId="1" applyAlignment="1" pivotButton="0" quotePrefix="0" xfId="0">
      <alignment vertical="center"/>
    </xf>
    <xf numFmtId="0" fontId="19" fillId="0" borderId="1" applyAlignment="1" pivotButton="0" quotePrefix="0" xfId="0">
      <alignment horizontal="center" vertical="center"/>
    </xf>
    <xf numFmtId="0" fontId="21" fillId="0" borderId="1" applyAlignment="1" pivotButton="0" quotePrefix="0" xfId="0">
      <alignment vertical="center" wrapText="1"/>
    </xf>
    <xf numFmtId="0" fontId="19" fillId="0" borderId="1" applyAlignment="1" pivotButton="0" quotePrefix="0" xfId="0">
      <alignment vertical="center" wrapText="1"/>
    </xf>
    <xf numFmtId="0" fontId="22" fillId="0" borderId="1" applyAlignment="1" pivotButton="0" quotePrefix="0" xfId="0">
      <alignment vertical="center"/>
    </xf>
    <xf numFmtId="0" fontId="23" fillId="0" borderId="1" applyAlignment="1" pivotButton="0" quotePrefix="0" xfId="0">
      <alignment vertical="center"/>
    </xf>
    <xf numFmtId="0" fontId="19" fillId="6" borderId="1" applyAlignment="1" pivotButton="0" quotePrefix="0" xfId="0">
      <alignment vertical="center"/>
    </xf>
    <xf numFmtId="0" fontId="17" fillId="6" borderId="1" applyAlignment="1" pivotButton="0" quotePrefix="0" xfId="0">
      <alignment vertical="center"/>
    </xf>
    <xf numFmtId="0" fontId="19" fillId="6" borderId="1" applyAlignment="1" pivotButton="0" quotePrefix="0" xfId="0">
      <alignment horizontal="center" vertical="center"/>
    </xf>
    <xf numFmtId="0" fontId="21" fillId="6" borderId="1" applyAlignment="1" pivotButton="0" quotePrefix="0" xfId="0">
      <alignment vertical="center" wrapText="1"/>
    </xf>
    <xf numFmtId="0" fontId="19" fillId="6" borderId="1" applyAlignment="1" pivotButton="0" quotePrefix="0" xfId="0">
      <alignment vertical="center" wrapText="1"/>
    </xf>
    <xf numFmtId="0" fontId="22" fillId="6" borderId="1" applyAlignment="1" pivotButton="0" quotePrefix="0" xfId="0">
      <alignment vertical="center"/>
    </xf>
    <xf numFmtId="0" fontId="23" fillId="6" borderId="1" applyAlignment="1" pivotButton="0" quotePrefix="0" xfId="0">
      <alignment vertical="center"/>
    </xf>
    <xf numFmtId="0" fontId="22" fillId="5" borderId="1" applyAlignment="1" pivotButton="0" quotePrefix="0" xfId="0">
      <alignment vertical="center"/>
    </xf>
    <xf numFmtId="0" fontId="19" fillId="7" borderId="1" applyAlignment="1" pivotButton="0" quotePrefix="0" xfId="0">
      <alignment vertical="center"/>
    </xf>
    <xf numFmtId="0" fontId="17" fillId="7" borderId="1" applyAlignment="1" pivotButton="0" quotePrefix="0" xfId="0">
      <alignment vertical="center"/>
    </xf>
    <xf numFmtId="0" fontId="19" fillId="7" borderId="1" applyAlignment="1" pivotButton="0" quotePrefix="0" xfId="0">
      <alignment horizontal="center" vertical="center"/>
    </xf>
    <xf numFmtId="0" fontId="21" fillId="7" borderId="1" applyAlignment="1" pivotButton="0" quotePrefix="0" xfId="0">
      <alignment vertical="center" wrapText="1"/>
    </xf>
    <xf numFmtId="0" fontId="19" fillId="7" borderId="1" applyAlignment="1" pivotButton="0" quotePrefix="0" xfId="0">
      <alignment vertical="center" wrapText="1"/>
    </xf>
    <xf numFmtId="0" fontId="0" fillId="0" borderId="5" pivotButton="0" quotePrefix="0" xfId="0"/>
    <xf numFmtId="0" fontId="0" fillId="0" borderId="6" pivotButton="0" quotePrefix="0" xfId="0"/>
    <xf numFmtId="0" fontId="24" fillId="0" borderId="0" pivotButton="0" quotePrefix="0" xfId="0"/>
    <xf numFmtId="0" fontId="25" fillId="3" borderId="2" applyAlignment="1" pivotButton="0" quotePrefix="0" xfId="0">
      <alignment vertical="center" wrapText="1"/>
    </xf>
    <xf numFmtId="0" fontId="26" fillId="8" borderId="1" pivotButton="0" quotePrefix="0" xfId="0"/>
    <xf numFmtId="0" fontId="27" fillId="2" borderId="1" applyAlignment="1" pivotButton="0" quotePrefix="0" xfId="0">
      <alignment vertical="center"/>
    </xf>
    <xf numFmtId="0" fontId="19" fillId="2" borderId="1" applyAlignment="1" pivotButton="0" quotePrefix="0" xfId="0">
      <alignment vertical="center"/>
    </xf>
    <xf numFmtId="0" fontId="19" fillId="2" borderId="1" applyAlignment="1" pivotButton="0" quotePrefix="0" xfId="0">
      <alignment vertical="center" wrapText="1"/>
    </xf>
    <xf numFmtId="0" fontId="27" fillId="0" borderId="1" applyAlignment="1" pivotButton="0" quotePrefix="0" xfId="0">
      <alignment vertical="center"/>
    </xf>
    <xf numFmtId="0" fontId="19" fillId="0" borderId="1" applyAlignment="1" pivotButton="0" quotePrefix="0" xfId="0">
      <alignment vertical="center"/>
    </xf>
    <xf numFmtId="0" fontId="27" fillId="6" borderId="1" applyAlignment="1" pivotButton="0" quotePrefix="0" xfId="0">
      <alignment vertical="center"/>
    </xf>
    <xf numFmtId="0" fontId="19" fillId="6" borderId="1" applyAlignment="1" pivotButton="0" quotePrefix="0" xfId="0">
      <alignment vertical="center"/>
    </xf>
  </cellXfs>
  <cellStyles count="1">
    <cellStyle name="Normal" xfId="0" builtinId="0" hidden="0"/>
  </cellStyles>
  <dxfs count="2">
    <dxf>
      <font>
        <b val="1"/>
        <color rgb="FF2E7D6E"/>
      </font>
      <fill>
        <patternFill patternType="solid">
          <bgColor rgb="FFE4F0ED"/>
        </patternFill>
      </fill>
    </dxf>
    <dxf>
      <fill>
        <patternFill patternType="solid">
          <bgColor rgb="FFF8E1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34" customWidth="1" min="8" max="8"/>
  </cols>
  <sheetData>
    <row r="1" ht="30" customHeight="1">
      <c r="A1" s="1" t="inlineStr">
        <is>
          <t>HALF MARATHON · 13 DECEMBER 2026</t>
        </is>
      </c>
    </row>
    <row r="2" ht="18" customHeight="1">
      <c r="A2" s="2" t="inlineStr">
        <is>
          <t>71 kg / 20% today  →  64.5 kg / 13% on race day</t>
        </is>
      </c>
    </row>
    <row r="4">
      <c r="B4" s="3" t="inlineStr">
        <is>
          <t>AT A GLANCE</t>
        </is>
      </c>
    </row>
    <row r="5">
      <c r="B5" s="4" t="inlineStr">
        <is>
          <t>DAYS TO RACE</t>
        </is>
      </c>
      <c r="C5" s="4" t="inlineStr">
        <is>
          <t>WEEK</t>
        </is>
      </c>
      <c r="D5" s="4" t="inlineStr">
        <is>
          <t>SESSIONS DONE</t>
        </is>
      </c>
      <c r="E5" s="4" t="inlineStr">
        <is>
          <t>LATEST WEIGHT</t>
        </is>
      </c>
      <c r="F5" s="4" t="inlineStr">
        <is>
          <t>KG TO GO</t>
        </is>
      </c>
      <c r="G5" s="4" t="inlineStr">
        <is>
          <t>KM THIS WEEK</t>
        </is>
      </c>
    </row>
    <row r="6">
      <c r="B6" s="5">
        <f>MAX(0,DATE(2026,12,13)-TODAY())</f>
        <v/>
      </c>
      <c r="C6" s="6">
        <f>MIN(17,MAX(1,INT((TODAY()-DATE(2026,8,17))/7)+1))</f>
        <v/>
      </c>
      <c r="D6" s="7">
        <f>COUNTIF('Daily Log'!H:H,"y")</f>
        <v/>
      </c>
      <c r="E6" s="8">
        <f>IFERROR(LOOKUP(2,1/('Daily Log'!I:I&lt;&gt;""),'Daily Log'!I:I),"—")</f>
        <v/>
      </c>
      <c r="F6" s="9">
        <f>IFERROR(LOOKUP(2,1/('Daily Log'!I:I&lt;&gt;""),'Daily Log'!I:I)-64.5,"—")</f>
        <v/>
      </c>
      <c r="G6" s="10">
        <f>SUMIFS('Daily Log'!L:L,'Daily Log'!C:C,MIN(17,MAX(1,INT((TODAY()-DATE(2026,8,17))/7)+1)))</f>
        <v/>
      </c>
    </row>
    <row r="9">
      <c r="B9" s="3" t="inlineStr">
        <is>
          <t>THE GOALS</t>
        </is>
      </c>
    </row>
    <row r="10" ht="26" customHeight="1">
      <c r="A10" s="11" t="inlineStr"/>
      <c r="B10" s="11" t="inlineStr">
        <is>
          <t>Goal</t>
        </is>
      </c>
      <c r="C10" s="11" t="inlineStr">
        <is>
          <t>Today</t>
        </is>
      </c>
      <c r="D10" s="11" t="inlineStr">
        <is>
          <t>Target</t>
        </is>
      </c>
      <c r="E10" s="11" t="inlineStr">
        <is>
          <t>By when</t>
        </is>
      </c>
      <c r="F10" s="11" t="inlineStr"/>
      <c r="G10" s="11" t="inlineStr"/>
    </row>
    <row r="11" ht="18" customHeight="1">
      <c r="A11" s="12" t="n"/>
      <c r="B11" s="13" t="inlineStr">
        <is>
          <t>Half marathon</t>
        </is>
      </c>
      <c r="C11" s="12" t="inlineStr">
        <is>
          <t>—</t>
        </is>
      </c>
      <c r="D11" s="14" t="inlineStr">
        <is>
          <t>2:10 (6:10/km)</t>
        </is>
      </c>
      <c r="E11" s="12" t="inlineStr">
        <is>
          <t>13 Dec 2026</t>
        </is>
      </c>
      <c r="F11" s="12" t="n"/>
      <c r="G11" s="15" t="inlineStr">
        <is>
          <t>Expect 2:12–2:18. Sub-2:05 live if wk-11 10k &lt; 57:00</t>
        </is>
      </c>
    </row>
    <row r="12" ht="18" customHeight="1">
      <c r="A12" s="16" t="n"/>
      <c r="B12" s="17" t="inlineStr">
        <is>
          <t>Bodyweight</t>
        </is>
      </c>
      <c r="C12" s="16" t="inlineStr">
        <is>
          <t>71 kg</t>
        </is>
      </c>
      <c r="D12" s="18" t="inlineStr">
        <is>
          <t>64.5 kg</t>
        </is>
      </c>
      <c r="E12" s="16" t="inlineStr">
        <is>
          <t>13 Dec 2026</t>
        </is>
      </c>
      <c r="F12" s="16" t="n"/>
      <c r="G12" s="19" t="inlineStr">
        <is>
          <t>0.4 kg/week — no faster</t>
        </is>
      </c>
    </row>
    <row r="13" ht="18" customHeight="1">
      <c r="A13" s="12" t="n"/>
      <c r="B13" s="13" t="inlineStr">
        <is>
          <t>Body fat</t>
        </is>
      </c>
      <c r="C13" s="12" t="inlineStr">
        <is>
          <t>~20%</t>
        </is>
      </c>
      <c r="D13" s="14" t="inlineStr">
        <is>
          <t>~13%</t>
        </is>
      </c>
      <c r="E13" s="12" t="inlineStr">
        <is>
          <t>13 Dec 2026</t>
        </is>
      </c>
      <c r="F13" s="12" t="n"/>
      <c r="G13" s="15" t="inlineStr">
        <is>
          <t>Abs visible in normal light</t>
        </is>
      </c>
    </row>
    <row r="14" ht="18" customHeight="1">
      <c r="A14" s="16" t="n"/>
      <c r="B14" s="17" t="inlineStr">
        <is>
          <t>5k</t>
        </is>
      </c>
      <c r="C14" s="16" t="inlineStr">
        <is>
          <t>28:57</t>
        </is>
      </c>
      <c r="D14" s="18" t="inlineStr">
        <is>
          <t>≤ 27:45</t>
        </is>
      </c>
      <c r="E14" s="16" t="inlineStr">
        <is>
          <t>20 Sep (wk 5)</t>
        </is>
      </c>
      <c r="F14" s="16" t="n"/>
      <c r="G14" s="19" t="inlineStr">
        <is>
          <t>Checkpoint 1</t>
        </is>
      </c>
    </row>
    <row r="15" ht="18" customHeight="1">
      <c r="A15" s="12" t="n"/>
      <c r="B15" s="13" t="inlineStr">
        <is>
          <t>10k</t>
        </is>
      </c>
      <c r="C15" s="12" t="inlineStr">
        <is>
          <t>79:03</t>
        </is>
      </c>
      <c r="D15" s="14" t="inlineStr">
        <is>
          <t>≤ 59:00</t>
        </is>
      </c>
      <c r="E15" s="12" t="inlineStr">
        <is>
          <t>1 Nov (wk 11)</t>
        </is>
      </c>
      <c r="F15" s="12" t="n"/>
      <c r="G15" s="15" t="inlineStr">
        <is>
          <t>Checkpoint 2 — sets the race goal</t>
        </is>
      </c>
    </row>
    <row r="16" ht="18" customHeight="1">
      <c r="A16" s="16" t="n"/>
      <c r="B16" s="17" t="inlineStr">
        <is>
          <t>Longest run</t>
        </is>
      </c>
      <c r="C16" s="16" t="inlineStr">
        <is>
          <t>10 km</t>
        </is>
      </c>
      <c r="D16" s="18" t="inlineStr">
        <is>
          <t>19 km</t>
        </is>
      </c>
      <c r="E16" s="16" t="inlineStr">
        <is>
          <t>15 Nov (wk 13)</t>
        </is>
      </c>
      <c r="F16" s="16" t="n"/>
      <c r="G16" s="19" t="inlineStr">
        <is>
          <t>The confidence builder</t>
        </is>
      </c>
    </row>
    <row r="17" ht="18" customHeight="1">
      <c r="A17" s="12" t="n"/>
      <c r="B17" s="13" t="inlineStr">
        <is>
          <t>Resting HR</t>
        </is>
      </c>
      <c r="C17" s="12" t="inlineStr">
        <is>
          <t>59 bpm</t>
        </is>
      </c>
      <c r="D17" s="14" t="inlineStr">
        <is>
          <t>&lt; 55 bpm</t>
        </is>
      </c>
      <c r="E17" s="12" t="inlineStr">
        <is>
          <t>ongoing</t>
        </is>
      </c>
      <c r="F17" s="12" t="n"/>
      <c r="G17" s="15" t="inlineStr">
        <is>
          <t>Was 56.3 in May, your best month</t>
        </is>
      </c>
    </row>
    <row r="18" ht="18" customHeight="1">
      <c r="A18" s="16" t="n"/>
      <c r="B18" s="17" t="inlineStr">
        <is>
          <t>Sleep</t>
        </is>
      </c>
      <c r="C18" s="16" t="inlineStr">
        <is>
          <t>5.9 h</t>
        </is>
      </c>
      <c r="D18" s="18" t="inlineStr">
        <is>
          <t>7.0 h</t>
        </is>
      </c>
      <c r="E18" s="16" t="inlineStr">
        <is>
          <t>from tonight</t>
        </is>
      </c>
      <c r="F18" s="16" t="n"/>
      <c r="G18" s="19" t="inlineStr">
        <is>
          <t>Biggest untapped lever</t>
        </is>
      </c>
    </row>
    <row r="19" ht="18" customHeight="1">
      <c r="A19" s="12" t="n"/>
      <c r="B19" s="13" t="inlineStr">
        <is>
          <t>Protein</t>
        </is>
      </c>
      <c r="C19" s="12" t="inlineStr">
        <is>
          <t>110 g</t>
        </is>
      </c>
      <c r="D19" s="14" t="inlineStr">
        <is>
          <t>~154 g</t>
        </is>
      </c>
      <c r="E19" s="12" t="inlineStr">
        <is>
          <t>from tomorrow</t>
        </is>
      </c>
      <c r="F19" s="12" t="n"/>
      <c r="G19" s="15" t="inlineStr">
        <is>
          <t>2.2 g/kg</t>
        </is>
      </c>
    </row>
    <row r="21">
      <c r="B21" s="3" t="inlineStr">
        <is>
          <t>THE SEQUENCE — always in order, rest day floats</t>
        </is>
      </c>
    </row>
    <row r="22">
      <c r="B22" s="20" t="inlineStr">
        <is>
          <t>S1</t>
        </is>
      </c>
      <c r="C22" s="12" t="inlineStr">
        <is>
          <t>Run — tempo or intervals</t>
        </is>
      </c>
      <c r="D22" s="54" t="n"/>
      <c r="E22" s="55" t="n"/>
      <c r="G22" s="22" t="inlineStr">
        <is>
          <t>Only 2 runs this week?  Drop S3.</t>
        </is>
      </c>
    </row>
    <row r="23">
      <c r="B23" s="23" t="inlineStr">
        <is>
          <t>S2</t>
        </is>
      </c>
      <c r="C23" s="12" t="inlineStr">
        <is>
          <t>Legs + Core</t>
        </is>
      </c>
      <c r="D23" s="54" t="n"/>
      <c r="E23" s="55" t="n"/>
      <c r="G23" s="22" t="inlineStr">
        <is>
          <t>Only 1 run?  It's S5, always.</t>
        </is>
      </c>
    </row>
    <row r="24">
      <c r="B24" s="24" t="inlineStr">
        <is>
          <t>S3</t>
        </is>
      </c>
      <c r="C24" s="12" t="inlineStr">
        <is>
          <t>Easy run</t>
        </is>
      </c>
      <c r="D24" s="54" t="n"/>
      <c r="E24" s="55" t="n"/>
      <c r="G24" s="25" t="inlineStr">
        <is>
          <t>2-run weeks 3+ deep?  Stop growing the long run.</t>
        </is>
      </c>
    </row>
    <row r="25">
      <c r="B25" s="23" t="inlineStr">
        <is>
          <t>S4</t>
        </is>
      </c>
      <c r="C25" s="12" t="inlineStr">
        <is>
          <t>Shoulders + Arms</t>
        </is>
      </c>
      <c r="D25" s="54" t="n"/>
      <c r="E25" s="55" t="n"/>
    </row>
    <row r="26">
      <c r="B26" s="20" t="inlineStr">
        <is>
          <t>S5</t>
        </is>
      </c>
      <c r="C26" s="12" t="inlineStr">
        <is>
          <t>LONG RUN</t>
        </is>
      </c>
      <c r="D26" s="54" t="n"/>
      <c r="E26" s="55" t="n"/>
    </row>
    <row r="27">
      <c r="B27" s="23" t="inlineStr">
        <is>
          <t>S6</t>
        </is>
      </c>
      <c r="C27" s="12" t="inlineStr">
        <is>
          <t>Chest + Back</t>
        </is>
      </c>
      <c r="D27" s="54" t="n"/>
      <c r="E27" s="55" t="n"/>
    </row>
    <row r="28">
      <c r="B28" s="26" t="inlineStr">
        <is>
          <t>—</t>
        </is>
      </c>
      <c r="C28" s="12" t="inlineStr">
        <is>
          <t>Rest (floats)</t>
        </is>
      </c>
      <c r="D28" s="54" t="n"/>
      <c r="E28" s="55" t="n"/>
    </row>
    <row r="30">
      <c r="B30" s="27" t="inlineStr">
        <is>
          <t>TRIPWIRES — if any fires, add 250 kcal of carbs</t>
        </is>
      </c>
    </row>
    <row r="31">
      <c r="B31" s="28" t="inlineStr">
        <is>
          <t>1.  Week-11 10k slower than the week-5 5k predicts</t>
        </is>
      </c>
      <c r="C31" s="54" t="n"/>
      <c r="D31" s="54" t="n"/>
      <c r="E31" s="54" t="n"/>
      <c r="F31" s="54" t="n"/>
      <c r="G31" s="55" t="n"/>
    </row>
    <row r="32">
      <c r="B32" s="28" t="inlineStr">
        <is>
          <t>2.  Resting HR up 4+ bpm over baseline for more than a week</t>
        </is>
      </c>
      <c r="C32" s="54" t="n"/>
      <c r="D32" s="54" t="n"/>
      <c r="E32" s="54" t="n"/>
      <c r="F32" s="54" t="n"/>
      <c r="G32" s="55" t="n"/>
    </row>
    <row r="33">
      <c r="B33" s="28" t="inlineStr">
        <is>
          <t>3.  Weight dropping faster than 0.6 kg/week for two weeks running</t>
        </is>
      </c>
      <c r="C33" s="54" t="n"/>
      <c r="D33" s="54" t="n"/>
      <c r="E33" s="54" t="n"/>
      <c r="F33" s="54" t="n"/>
      <c r="G33" s="55" t="n"/>
    </row>
  </sheetData>
  <mergeCells count="12">
    <mergeCell ref="A2:F2"/>
    <mergeCell ref="C28:E28"/>
    <mergeCell ref="C27:E27"/>
    <mergeCell ref="B33:G33"/>
    <mergeCell ref="A1:F1"/>
    <mergeCell ref="C23:E23"/>
    <mergeCell ref="C22:E22"/>
    <mergeCell ref="B31:G31"/>
    <mergeCell ref="B32:G32"/>
    <mergeCell ref="C26:E26"/>
    <mergeCell ref="C25:E25"/>
    <mergeCell ref="C24:E2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3"/>
  <sheetViews>
    <sheetView showGridLines="0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5" customWidth="1" min="3" max="3"/>
    <col width="22" customWidth="1" min="4" max="4"/>
    <col width="9" customWidth="1" min="5" max="5"/>
    <col width="30" customWidth="1" min="6" max="6"/>
    <col width="7" customWidth="1" min="7" max="7"/>
    <col width="8" customWidth="1" min="8" max="8"/>
    <col width="10" customWidth="1" min="9" max="9"/>
    <col width="8" customWidth="1" min="10" max="10"/>
    <col width="8" customWidth="1" min="11" max="11"/>
    <col width="10" customWidth="1" min="12" max="12"/>
    <col width="8" customWidth="1" min="13" max="13"/>
    <col width="32" customWidth="1" min="14" max="14"/>
  </cols>
  <sheetData>
    <row r="1" ht="30" customHeight="1">
      <c r="A1" s="1" t="inlineStr">
        <is>
          <t>DAILY LOG</t>
        </is>
      </c>
    </row>
    <row r="2" ht="18" customHeight="1">
      <c r="A2" s="2" t="inlineStr">
        <is>
          <t>Fill in columns H onwards. Weight: fasted, post-bathroom, pre-water.</t>
        </is>
      </c>
    </row>
    <row r="4" ht="26" customHeight="1">
      <c r="A4" s="11" t="inlineStr">
        <is>
          <t>Date</t>
        </is>
      </c>
      <c r="B4" s="11" t="inlineStr">
        <is>
          <t>Day</t>
        </is>
      </c>
      <c r="C4" s="11" t="inlineStr">
        <is>
          <t>Wk</t>
        </is>
      </c>
      <c r="D4" s="11" t="inlineStr">
        <is>
          <t>Session</t>
        </is>
      </c>
      <c r="E4" s="11" t="inlineStr">
        <is>
          <t>Target km</t>
        </is>
      </c>
      <c r="F4" s="11" t="inlineStr">
        <is>
          <t>Session detail</t>
        </is>
      </c>
      <c r="G4" s="11" t="inlineStr">
        <is>
          <t>kcal</t>
        </is>
      </c>
      <c r="H4" s="11" t="inlineStr">
        <is>
          <t>DONE</t>
        </is>
      </c>
      <c r="I4" s="11" t="inlineStr">
        <is>
          <t>Weight kg</t>
        </is>
      </c>
      <c r="J4" s="11" t="inlineStr">
        <is>
          <t>Sleep h</t>
        </is>
      </c>
      <c r="K4" s="11" t="inlineStr">
        <is>
          <t>Water L</t>
        </is>
      </c>
      <c r="L4" s="11" t="inlineStr">
        <is>
          <t>Actual km</t>
        </is>
      </c>
      <c r="M4" s="11" t="inlineStr">
        <is>
          <t>Avg HR</t>
        </is>
      </c>
      <c r="N4" s="11" t="inlineStr">
        <is>
          <t>Notes</t>
        </is>
      </c>
    </row>
    <row r="5" ht="15" customHeight="1">
      <c r="A5" s="29" t="inlineStr">
        <is>
          <t>2026-08-17</t>
        </is>
      </c>
      <c r="B5" s="29" t="inlineStr">
        <is>
          <t>Mon</t>
        </is>
      </c>
      <c r="C5" s="29" t="n">
        <v>1</v>
      </c>
      <c r="D5" s="30" t="inlineStr">
        <is>
          <t>Rest (floats)</t>
        </is>
      </c>
      <c r="E5" s="31" t="inlineStr"/>
      <c r="F5" s="32" t="inlineStr"/>
      <c r="G5" s="31" t="n">
        <v>1900</v>
      </c>
      <c r="H5" s="29" t="inlineStr"/>
      <c r="I5" s="31" t="inlineStr"/>
      <c r="J5" s="31" t="inlineStr"/>
      <c r="K5" s="31" t="inlineStr"/>
      <c r="L5" s="31" t="inlineStr"/>
      <c r="M5" s="31" t="inlineStr"/>
      <c r="N5" s="33" t="inlineStr"/>
    </row>
    <row r="6" ht="15" customHeight="1">
      <c r="A6" s="34" t="inlineStr">
        <is>
          <t>2026-08-18</t>
        </is>
      </c>
      <c r="B6" s="34" t="inlineStr">
        <is>
          <t>Tue</t>
        </is>
      </c>
      <c r="C6" s="34" t="n">
        <v>1</v>
      </c>
      <c r="D6" s="35" t="inlineStr">
        <is>
          <t>S1 Run</t>
        </is>
      </c>
      <c r="E6" s="36" t="n">
        <v>5</v>
      </c>
      <c r="F6" s="37" t="inlineStr">
        <is>
          <t>Easy + 6x20s strides</t>
        </is>
      </c>
      <c r="G6" s="36" t="n">
        <v>1900</v>
      </c>
      <c r="H6" s="34" t="inlineStr"/>
      <c r="I6" s="36" t="inlineStr"/>
      <c r="J6" s="36" t="inlineStr"/>
      <c r="K6" s="36" t="inlineStr"/>
      <c r="L6" s="36" t="inlineStr"/>
      <c r="M6" s="36" t="inlineStr"/>
      <c r="N6" s="38" t="inlineStr"/>
    </row>
    <row r="7" ht="15" customHeight="1">
      <c r="A7" s="34" t="inlineStr">
        <is>
          <t>2026-08-19</t>
        </is>
      </c>
      <c r="B7" s="34" t="inlineStr">
        <is>
          <t>Wed</t>
        </is>
      </c>
      <c r="C7" s="34" t="n">
        <v>1</v>
      </c>
      <c r="D7" s="39" t="inlineStr">
        <is>
          <t>S2 Legs + Core</t>
        </is>
      </c>
      <c r="E7" s="36" t="inlineStr"/>
      <c r="F7" s="37" t="inlineStr"/>
      <c r="G7" s="36" t="n">
        <v>1900</v>
      </c>
      <c r="H7" s="34" t="inlineStr"/>
      <c r="I7" s="36" t="inlineStr"/>
      <c r="J7" s="36" t="inlineStr"/>
      <c r="K7" s="36" t="inlineStr"/>
      <c r="L7" s="36" t="inlineStr"/>
      <c r="M7" s="36" t="inlineStr"/>
      <c r="N7" s="38" t="inlineStr"/>
    </row>
    <row r="8" ht="15" customHeight="1">
      <c r="A8" s="34" t="inlineStr">
        <is>
          <t>2026-08-20</t>
        </is>
      </c>
      <c r="B8" s="34" t="inlineStr">
        <is>
          <t>Thu</t>
        </is>
      </c>
      <c r="C8" s="34" t="n">
        <v>1</v>
      </c>
      <c r="D8" s="40" t="inlineStr">
        <is>
          <t>S3 Easy run</t>
        </is>
      </c>
      <c r="E8" s="36" t="n">
        <v>5</v>
      </c>
      <c r="F8" s="37" t="inlineStr">
        <is>
          <t>Conversational. HR &lt;=155.</t>
        </is>
      </c>
      <c r="G8" s="36" t="n">
        <v>1900</v>
      </c>
      <c r="H8" s="34" t="inlineStr"/>
      <c r="I8" s="36" t="inlineStr"/>
      <c r="J8" s="36" t="inlineStr"/>
      <c r="K8" s="36" t="inlineStr"/>
      <c r="L8" s="36" t="inlineStr"/>
      <c r="M8" s="36" t="inlineStr"/>
      <c r="N8" s="38" t="inlineStr"/>
    </row>
    <row r="9" ht="15" customHeight="1">
      <c r="A9" s="34" t="inlineStr">
        <is>
          <t>2026-08-21</t>
        </is>
      </c>
      <c r="B9" s="34" t="inlineStr">
        <is>
          <t>Fri</t>
        </is>
      </c>
      <c r="C9" s="34" t="n">
        <v>1</v>
      </c>
      <c r="D9" s="39" t="inlineStr">
        <is>
          <t>S4 Shoulders + Arms</t>
        </is>
      </c>
      <c r="E9" s="36" t="inlineStr"/>
      <c r="F9" s="37" t="inlineStr"/>
      <c r="G9" s="36" t="n">
        <v>1900</v>
      </c>
      <c r="H9" s="34" t="inlineStr"/>
      <c r="I9" s="36" t="inlineStr"/>
      <c r="J9" s="36" t="inlineStr"/>
      <c r="K9" s="36" t="inlineStr"/>
      <c r="L9" s="36" t="inlineStr"/>
      <c r="M9" s="36" t="inlineStr"/>
      <c r="N9" s="38" t="inlineStr"/>
    </row>
    <row r="10" ht="15" customHeight="1">
      <c r="A10" s="34" t="inlineStr">
        <is>
          <t>2026-08-22</t>
        </is>
      </c>
      <c r="B10" s="34" t="inlineStr">
        <is>
          <t>Sat</t>
        </is>
      </c>
      <c r="C10" s="34" t="n">
        <v>1</v>
      </c>
      <c r="D10" s="35" t="inlineStr">
        <is>
          <t>S5 Long run</t>
        </is>
      </c>
      <c r="E10" s="36" t="n">
        <v>6</v>
      </c>
      <c r="F10" s="37" t="inlineStr">
        <is>
          <t>All easy. HR &lt;=158.</t>
        </is>
      </c>
      <c r="G10" s="36" t="n">
        <v>1900</v>
      </c>
      <c r="H10" s="34" t="inlineStr"/>
      <c r="I10" s="36" t="inlineStr"/>
      <c r="J10" s="36" t="inlineStr"/>
      <c r="K10" s="36" t="inlineStr"/>
      <c r="L10" s="36" t="inlineStr"/>
      <c r="M10" s="36" t="inlineStr"/>
      <c r="N10" s="38" t="inlineStr"/>
    </row>
    <row r="11" ht="15" customHeight="1">
      <c r="A11" s="34" t="inlineStr">
        <is>
          <t>2026-08-23</t>
        </is>
      </c>
      <c r="B11" s="34" t="inlineStr">
        <is>
          <t>Sun</t>
        </is>
      </c>
      <c r="C11" s="34" t="n">
        <v>1</v>
      </c>
      <c r="D11" s="39" t="inlineStr">
        <is>
          <t>S6 Chest + Back</t>
        </is>
      </c>
      <c r="E11" s="36" t="inlineStr"/>
      <c r="F11" s="37" t="inlineStr"/>
      <c r="G11" s="36" t="n">
        <v>1900</v>
      </c>
      <c r="H11" s="34" t="inlineStr"/>
      <c r="I11" s="36" t="inlineStr"/>
      <c r="J11" s="36" t="inlineStr"/>
      <c r="K11" s="36" t="inlineStr"/>
      <c r="L11" s="36" t="inlineStr"/>
      <c r="M11" s="36" t="inlineStr"/>
      <c r="N11" s="38" t="inlineStr"/>
    </row>
    <row r="12" ht="15" customHeight="1">
      <c r="A12" s="29" t="inlineStr">
        <is>
          <t>2026-08-24</t>
        </is>
      </c>
      <c r="B12" s="29" t="inlineStr">
        <is>
          <t>Mon</t>
        </is>
      </c>
      <c r="C12" s="29" t="n">
        <v>2</v>
      </c>
      <c r="D12" s="30" t="inlineStr">
        <is>
          <t>Rest (floats)</t>
        </is>
      </c>
      <c r="E12" s="31" t="inlineStr"/>
      <c r="F12" s="32" t="inlineStr"/>
      <c r="G12" s="31" t="n">
        <v>1900</v>
      </c>
      <c r="H12" s="29" t="inlineStr"/>
      <c r="I12" s="31" t="inlineStr"/>
      <c r="J12" s="31" t="inlineStr"/>
      <c r="K12" s="31" t="inlineStr"/>
      <c r="L12" s="31" t="inlineStr"/>
      <c r="M12" s="31" t="inlineStr"/>
      <c r="N12" s="33" t="inlineStr"/>
    </row>
    <row r="13" ht="15" customHeight="1">
      <c r="A13" s="34" t="inlineStr">
        <is>
          <t>2026-08-25</t>
        </is>
      </c>
      <c r="B13" s="34" t="inlineStr">
        <is>
          <t>Tue</t>
        </is>
      </c>
      <c r="C13" s="34" t="n">
        <v>2</v>
      </c>
      <c r="D13" s="35" t="inlineStr">
        <is>
          <t>S1 Run</t>
        </is>
      </c>
      <c r="E13" s="36" t="n">
        <v>6</v>
      </c>
      <c r="F13" s="37" t="inlineStr">
        <is>
          <t>Easy + 6x20s strides</t>
        </is>
      </c>
      <c r="G13" s="36" t="n">
        <v>1900</v>
      </c>
      <c r="H13" s="34" t="inlineStr"/>
      <c r="I13" s="36" t="inlineStr"/>
      <c r="J13" s="36" t="inlineStr"/>
      <c r="K13" s="36" t="inlineStr"/>
      <c r="L13" s="36" t="inlineStr"/>
      <c r="M13" s="36" t="inlineStr"/>
      <c r="N13" s="38" t="inlineStr"/>
    </row>
    <row r="14" ht="15" customHeight="1">
      <c r="A14" s="34" t="inlineStr">
        <is>
          <t>2026-08-26</t>
        </is>
      </c>
      <c r="B14" s="34" t="inlineStr">
        <is>
          <t>Wed</t>
        </is>
      </c>
      <c r="C14" s="34" t="n">
        <v>2</v>
      </c>
      <c r="D14" s="39" t="inlineStr">
        <is>
          <t>S2 Legs + Core</t>
        </is>
      </c>
      <c r="E14" s="36" t="inlineStr"/>
      <c r="F14" s="37" t="inlineStr"/>
      <c r="G14" s="36" t="n">
        <v>1900</v>
      </c>
      <c r="H14" s="34" t="inlineStr"/>
      <c r="I14" s="36" t="inlineStr"/>
      <c r="J14" s="36" t="inlineStr"/>
      <c r="K14" s="36" t="inlineStr"/>
      <c r="L14" s="36" t="inlineStr"/>
      <c r="M14" s="36" t="inlineStr"/>
      <c r="N14" s="38" t="inlineStr"/>
    </row>
    <row r="15" ht="15" customHeight="1">
      <c r="A15" s="34" t="inlineStr">
        <is>
          <t>2026-08-27</t>
        </is>
      </c>
      <c r="B15" s="34" t="inlineStr">
        <is>
          <t>Thu</t>
        </is>
      </c>
      <c r="C15" s="34" t="n">
        <v>2</v>
      </c>
      <c r="D15" s="40" t="inlineStr">
        <is>
          <t>S3 Easy run</t>
        </is>
      </c>
      <c r="E15" s="36" t="n">
        <v>5</v>
      </c>
      <c r="F15" s="37" t="inlineStr">
        <is>
          <t>Conversational. HR &lt;=155.</t>
        </is>
      </c>
      <c r="G15" s="36" t="n">
        <v>1900</v>
      </c>
      <c r="H15" s="34" t="inlineStr"/>
      <c r="I15" s="36" t="inlineStr"/>
      <c r="J15" s="36" t="inlineStr"/>
      <c r="K15" s="36" t="inlineStr"/>
      <c r="L15" s="36" t="inlineStr"/>
      <c r="M15" s="36" t="inlineStr"/>
      <c r="N15" s="38" t="inlineStr"/>
    </row>
    <row r="16" ht="15" customHeight="1">
      <c r="A16" s="34" t="inlineStr">
        <is>
          <t>2026-08-28</t>
        </is>
      </c>
      <c r="B16" s="34" t="inlineStr">
        <is>
          <t>Fri</t>
        </is>
      </c>
      <c r="C16" s="34" t="n">
        <v>2</v>
      </c>
      <c r="D16" s="39" t="inlineStr">
        <is>
          <t>S4 Shoulders + Arms</t>
        </is>
      </c>
      <c r="E16" s="36" t="inlineStr"/>
      <c r="F16" s="37" t="inlineStr"/>
      <c r="G16" s="36" t="n">
        <v>1900</v>
      </c>
      <c r="H16" s="34" t="inlineStr"/>
      <c r="I16" s="36" t="inlineStr"/>
      <c r="J16" s="36" t="inlineStr"/>
      <c r="K16" s="36" t="inlineStr"/>
      <c r="L16" s="36" t="inlineStr"/>
      <c r="M16" s="36" t="inlineStr"/>
      <c r="N16" s="38" t="inlineStr"/>
    </row>
    <row r="17" ht="15" customHeight="1">
      <c r="A17" s="34" t="inlineStr">
        <is>
          <t>2026-08-29</t>
        </is>
      </c>
      <c r="B17" s="34" t="inlineStr">
        <is>
          <t>Sat</t>
        </is>
      </c>
      <c r="C17" s="34" t="n">
        <v>2</v>
      </c>
      <c r="D17" s="35" t="inlineStr">
        <is>
          <t>S5 Long run</t>
        </is>
      </c>
      <c r="E17" s="36" t="n">
        <v>8</v>
      </c>
      <c r="F17" s="37" t="inlineStr">
        <is>
          <t>All easy. HR &lt;=158.</t>
        </is>
      </c>
      <c r="G17" s="36" t="n">
        <v>1900</v>
      </c>
      <c r="H17" s="34" t="inlineStr"/>
      <c r="I17" s="36" t="inlineStr"/>
      <c r="J17" s="36" t="inlineStr"/>
      <c r="K17" s="36" t="inlineStr"/>
      <c r="L17" s="36" t="inlineStr"/>
      <c r="M17" s="36" t="inlineStr"/>
      <c r="N17" s="38" t="inlineStr"/>
    </row>
    <row r="18" ht="15" customHeight="1">
      <c r="A18" s="34" t="inlineStr">
        <is>
          <t>2026-08-30</t>
        </is>
      </c>
      <c r="B18" s="34" t="inlineStr">
        <is>
          <t>Sun</t>
        </is>
      </c>
      <c r="C18" s="34" t="n">
        <v>2</v>
      </c>
      <c r="D18" s="39" t="inlineStr">
        <is>
          <t>S6 Chest + Back</t>
        </is>
      </c>
      <c r="E18" s="36" t="inlineStr"/>
      <c r="F18" s="37" t="inlineStr"/>
      <c r="G18" s="36" t="n">
        <v>1900</v>
      </c>
      <c r="H18" s="34" t="inlineStr"/>
      <c r="I18" s="36" t="inlineStr"/>
      <c r="J18" s="36" t="inlineStr"/>
      <c r="K18" s="36" t="inlineStr"/>
      <c r="L18" s="36" t="inlineStr"/>
      <c r="M18" s="36" t="inlineStr"/>
      <c r="N18" s="38" t="inlineStr"/>
    </row>
    <row r="19" ht="15" customHeight="1">
      <c r="A19" s="29" t="inlineStr">
        <is>
          <t>2026-08-31</t>
        </is>
      </c>
      <c r="B19" s="29" t="inlineStr">
        <is>
          <t>Mon</t>
        </is>
      </c>
      <c r="C19" s="29" t="n">
        <v>3</v>
      </c>
      <c r="D19" s="30" t="inlineStr">
        <is>
          <t>Rest (floats)</t>
        </is>
      </c>
      <c r="E19" s="31" t="inlineStr"/>
      <c r="F19" s="32" t="inlineStr"/>
      <c r="G19" s="31" t="n">
        <v>1900</v>
      </c>
      <c r="H19" s="29" t="inlineStr"/>
      <c r="I19" s="31" t="inlineStr"/>
      <c r="J19" s="31" t="inlineStr"/>
      <c r="K19" s="31" t="inlineStr"/>
      <c r="L19" s="31" t="inlineStr"/>
      <c r="M19" s="31" t="inlineStr"/>
      <c r="N19" s="33" t="inlineStr"/>
    </row>
    <row r="20" ht="15" customHeight="1">
      <c r="A20" s="34" t="inlineStr">
        <is>
          <t>2026-09-01</t>
        </is>
      </c>
      <c r="B20" s="34" t="inlineStr">
        <is>
          <t>Tue</t>
        </is>
      </c>
      <c r="C20" s="34" t="n">
        <v>3</v>
      </c>
      <c r="D20" s="35" t="inlineStr">
        <is>
          <t>S1 Run</t>
        </is>
      </c>
      <c r="E20" s="36" t="n">
        <v>7</v>
      </c>
      <c r="F20" s="37" t="inlineStr">
        <is>
          <t>Easy + 8x20s strides</t>
        </is>
      </c>
      <c r="G20" s="36" t="n">
        <v>1900</v>
      </c>
      <c r="H20" s="34" t="inlineStr"/>
      <c r="I20" s="36" t="inlineStr"/>
      <c r="J20" s="36" t="inlineStr"/>
      <c r="K20" s="36" t="inlineStr"/>
      <c r="L20" s="36" t="inlineStr"/>
      <c r="M20" s="36" t="inlineStr"/>
      <c r="N20" s="38" t="inlineStr"/>
    </row>
    <row r="21" ht="15" customHeight="1">
      <c r="A21" s="34" t="inlineStr">
        <is>
          <t>2026-09-02</t>
        </is>
      </c>
      <c r="B21" s="34" t="inlineStr">
        <is>
          <t>Wed</t>
        </is>
      </c>
      <c r="C21" s="34" t="n">
        <v>3</v>
      </c>
      <c r="D21" s="39" t="inlineStr">
        <is>
          <t>S2 Legs + Core</t>
        </is>
      </c>
      <c r="E21" s="36" t="inlineStr"/>
      <c r="F21" s="37" t="inlineStr"/>
      <c r="G21" s="36" t="n">
        <v>1900</v>
      </c>
      <c r="H21" s="34" t="inlineStr"/>
      <c r="I21" s="36" t="inlineStr"/>
      <c r="J21" s="36" t="inlineStr"/>
      <c r="K21" s="36" t="inlineStr"/>
      <c r="L21" s="36" t="inlineStr"/>
      <c r="M21" s="36" t="inlineStr"/>
      <c r="N21" s="38" t="inlineStr"/>
    </row>
    <row r="22" ht="15" customHeight="1">
      <c r="A22" s="34" t="inlineStr">
        <is>
          <t>2026-09-03</t>
        </is>
      </c>
      <c r="B22" s="34" t="inlineStr">
        <is>
          <t>Thu</t>
        </is>
      </c>
      <c r="C22" s="34" t="n">
        <v>3</v>
      </c>
      <c r="D22" s="40" t="inlineStr">
        <is>
          <t>S3 Easy run</t>
        </is>
      </c>
      <c r="E22" s="36" t="n">
        <v>5</v>
      </c>
      <c r="F22" s="37" t="inlineStr">
        <is>
          <t>Conversational. HR &lt;=155.</t>
        </is>
      </c>
      <c r="G22" s="36" t="n">
        <v>1900</v>
      </c>
      <c r="H22" s="34" t="inlineStr"/>
      <c r="I22" s="36" t="inlineStr"/>
      <c r="J22" s="36" t="inlineStr"/>
      <c r="K22" s="36" t="inlineStr"/>
      <c r="L22" s="36" t="inlineStr"/>
      <c r="M22" s="36" t="inlineStr"/>
      <c r="N22" s="38" t="inlineStr"/>
    </row>
    <row r="23" ht="15" customHeight="1">
      <c r="A23" s="34" t="inlineStr">
        <is>
          <t>2026-09-04</t>
        </is>
      </c>
      <c r="B23" s="34" t="inlineStr">
        <is>
          <t>Fri</t>
        </is>
      </c>
      <c r="C23" s="34" t="n">
        <v>3</v>
      </c>
      <c r="D23" s="39" t="inlineStr">
        <is>
          <t>S4 Shoulders + Arms</t>
        </is>
      </c>
      <c r="E23" s="36" t="inlineStr"/>
      <c r="F23" s="37" t="inlineStr"/>
      <c r="G23" s="36" t="n">
        <v>1900</v>
      </c>
      <c r="H23" s="34" t="inlineStr"/>
      <c r="I23" s="36" t="inlineStr"/>
      <c r="J23" s="36" t="inlineStr"/>
      <c r="K23" s="36" t="inlineStr"/>
      <c r="L23" s="36" t="inlineStr"/>
      <c r="M23" s="36" t="inlineStr"/>
      <c r="N23" s="38" t="inlineStr"/>
    </row>
    <row r="24" ht="15" customHeight="1">
      <c r="A24" s="34" t="inlineStr">
        <is>
          <t>2026-09-05</t>
        </is>
      </c>
      <c r="B24" s="34" t="inlineStr">
        <is>
          <t>Sat</t>
        </is>
      </c>
      <c r="C24" s="34" t="n">
        <v>3</v>
      </c>
      <c r="D24" s="35" t="inlineStr">
        <is>
          <t>S5 Long run</t>
        </is>
      </c>
      <c r="E24" s="36" t="n">
        <v>10</v>
      </c>
      <c r="F24" s="37" t="inlineStr">
        <is>
          <t>All easy. HR &lt;=158.</t>
        </is>
      </c>
      <c r="G24" s="36" t="n">
        <v>1900</v>
      </c>
      <c r="H24" s="34" t="inlineStr"/>
      <c r="I24" s="36" t="inlineStr"/>
      <c r="J24" s="36" t="inlineStr"/>
      <c r="K24" s="36" t="inlineStr"/>
      <c r="L24" s="36" t="inlineStr"/>
      <c r="M24" s="36" t="inlineStr"/>
      <c r="N24" s="38" t="inlineStr"/>
    </row>
    <row r="25" ht="15" customHeight="1">
      <c r="A25" s="34" t="inlineStr">
        <is>
          <t>2026-09-06</t>
        </is>
      </c>
      <c r="B25" s="34" t="inlineStr">
        <is>
          <t>Sun</t>
        </is>
      </c>
      <c r="C25" s="34" t="n">
        <v>3</v>
      </c>
      <c r="D25" s="39" t="inlineStr">
        <is>
          <t>S6 Chest + Back</t>
        </is>
      </c>
      <c r="E25" s="36" t="inlineStr"/>
      <c r="F25" s="37" t="inlineStr"/>
      <c r="G25" s="36" t="n">
        <v>1900</v>
      </c>
      <c r="H25" s="34" t="inlineStr"/>
      <c r="I25" s="36" t="inlineStr"/>
      <c r="J25" s="36" t="inlineStr"/>
      <c r="K25" s="36" t="inlineStr"/>
      <c r="L25" s="36" t="inlineStr"/>
      <c r="M25" s="36" t="inlineStr"/>
      <c r="N25" s="38" t="inlineStr"/>
    </row>
    <row r="26" ht="15" customHeight="1">
      <c r="A26" s="29" t="inlineStr">
        <is>
          <t>2026-09-07</t>
        </is>
      </c>
      <c r="B26" s="29" t="inlineStr">
        <is>
          <t>Mon</t>
        </is>
      </c>
      <c r="C26" s="29" t="n">
        <v>4</v>
      </c>
      <c r="D26" s="30" t="inlineStr">
        <is>
          <t>Rest (floats)</t>
        </is>
      </c>
      <c r="E26" s="31" t="inlineStr"/>
      <c r="F26" s="32" t="inlineStr"/>
      <c r="G26" s="31" t="n">
        <v>1900</v>
      </c>
      <c r="H26" s="29" t="inlineStr"/>
      <c r="I26" s="31" t="inlineStr"/>
      <c r="J26" s="31" t="inlineStr"/>
      <c r="K26" s="31" t="inlineStr"/>
      <c r="L26" s="31" t="inlineStr"/>
      <c r="M26" s="31" t="inlineStr"/>
      <c r="N26" s="33" t="inlineStr"/>
    </row>
    <row r="27" ht="15" customHeight="1">
      <c r="A27" s="41" t="inlineStr">
        <is>
          <t>2026-09-08</t>
        </is>
      </c>
      <c r="B27" s="41" t="inlineStr">
        <is>
          <t>Tue</t>
        </is>
      </c>
      <c r="C27" s="41" t="n">
        <v>4</v>
      </c>
      <c r="D27" s="42" t="inlineStr">
        <is>
          <t>S1 Run</t>
        </is>
      </c>
      <c r="E27" s="43" t="n">
        <v>4</v>
      </c>
      <c r="F27" s="44" t="inlineStr">
        <is>
          <t>Easy only</t>
        </is>
      </c>
      <c r="G27" s="43" t="n">
        <v>1900</v>
      </c>
      <c r="H27" s="41" t="inlineStr"/>
      <c r="I27" s="43" t="inlineStr"/>
      <c r="J27" s="43" t="inlineStr"/>
      <c r="K27" s="43" t="inlineStr"/>
      <c r="L27" s="43" t="inlineStr"/>
      <c r="M27" s="43" t="inlineStr"/>
      <c r="N27" s="45" t="inlineStr"/>
    </row>
    <row r="28" ht="15" customHeight="1">
      <c r="A28" s="41" t="inlineStr">
        <is>
          <t>2026-09-09</t>
        </is>
      </c>
      <c r="B28" s="41" t="inlineStr">
        <is>
          <t>Wed</t>
        </is>
      </c>
      <c r="C28" s="41" t="n">
        <v>4</v>
      </c>
      <c r="D28" s="46" t="inlineStr">
        <is>
          <t>S2 Legs + Core</t>
        </is>
      </c>
      <c r="E28" s="43" t="inlineStr"/>
      <c r="F28" s="44" t="inlineStr"/>
      <c r="G28" s="43" t="n">
        <v>1900</v>
      </c>
      <c r="H28" s="41" t="inlineStr"/>
      <c r="I28" s="43" t="inlineStr"/>
      <c r="J28" s="43" t="inlineStr"/>
      <c r="K28" s="43" t="inlineStr"/>
      <c r="L28" s="43" t="inlineStr"/>
      <c r="M28" s="43" t="inlineStr"/>
      <c r="N28" s="45" t="inlineStr"/>
    </row>
    <row r="29" ht="15" customHeight="1">
      <c r="A29" s="41" t="inlineStr">
        <is>
          <t>2026-09-10</t>
        </is>
      </c>
      <c r="B29" s="41" t="inlineStr">
        <is>
          <t>Thu</t>
        </is>
      </c>
      <c r="C29" s="41" t="n">
        <v>4</v>
      </c>
      <c r="D29" s="47" t="inlineStr">
        <is>
          <t>S3 Easy run</t>
        </is>
      </c>
      <c r="E29" s="43" t="n">
        <v>4</v>
      </c>
      <c r="F29" s="44" t="inlineStr">
        <is>
          <t>Conversational. HR &lt;=155.</t>
        </is>
      </c>
      <c r="G29" s="43" t="n">
        <v>1900</v>
      </c>
      <c r="H29" s="41" t="inlineStr"/>
      <c r="I29" s="43" t="inlineStr"/>
      <c r="J29" s="43" t="inlineStr"/>
      <c r="K29" s="43" t="inlineStr"/>
      <c r="L29" s="43" t="inlineStr"/>
      <c r="M29" s="43" t="inlineStr"/>
      <c r="N29" s="45" t="inlineStr"/>
    </row>
    <row r="30" ht="15" customHeight="1">
      <c r="A30" s="41" t="inlineStr">
        <is>
          <t>2026-09-11</t>
        </is>
      </c>
      <c r="B30" s="41" t="inlineStr">
        <is>
          <t>Fri</t>
        </is>
      </c>
      <c r="C30" s="41" t="n">
        <v>4</v>
      </c>
      <c r="D30" s="46" t="inlineStr">
        <is>
          <t>S4 Shoulders + Arms</t>
        </is>
      </c>
      <c r="E30" s="43" t="inlineStr"/>
      <c r="F30" s="44" t="inlineStr"/>
      <c r="G30" s="43" t="n">
        <v>1900</v>
      </c>
      <c r="H30" s="41" t="inlineStr"/>
      <c r="I30" s="43" t="inlineStr"/>
      <c r="J30" s="43" t="inlineStr"/>
      <c r="K30" s="43" t="inlineStr"/>
      <c r="L30" s="43" t="inlineStr"/>
      <c r="M30" s="43" t="inlineStr"/>
      <c r="N30" s="45" t="inlineStr"/>
    </row>
    <row r="31" ht="15" customHeight="1">
      <c r="A31" s="41" t="inlineStr">
        <is>
          <t>2026-09-12</t>
        </is>
      </c>
      <c r="B31" s="41" t="inlineStr">
        <is>
          <t>Sat</t>
        </is>
      </c>
      <c r="C31" s="41" t="n">
        <v>4</v>
      </c>
      <c r="D31" s="42" t="inlineStr">
        <is>
          <t>S5 Long run</t>
        </is>
      </c>
      <c r="E31" s="43" t="n">
        <v>8</v>
      </c>
      <c r="F31" s="44" t="inlineStr">
        <is>
          <t>All easy. HR &lt;=158.</t>
        </is>
      </c>
      <c r="G31" s="43" t="n">
        <v>1900</v>
      </c>
      <c r="H31" s="41" t="inlineStr"/>
      <c r="I31" s="43" t="inlineStr"/>
      <c r="J31" s="43" t="inlineStr"/>
      <c r="K31" s="43" t="inlineStr"/>
      <c r="L31" s="43" t="inlineStr"/>
      <c r="M31" s="43" t="inlineStr"/>
      <c r="N31" s="45" t="inlineStr"/>
    </row>
    <row r="32" ht="15" customHeight="1">
      <c r="A32" s="41" t="inlineStr">
        <is>
          <t>2026-09-13</t>
        </is>
      </c>
      <c r="B32" s="41" t="inlineStr">
        <is>
          <t>Sun</t>
        </is>
      </c>
      <c r="C32" s="41" t="n">
        <v>4</v>
      </c>
      <c r="D32" s="46" t="inlineStr">
        <is>
          <t>S6 Chest + Back</t>
        </is>
      </c>
      <c r="E32" s="43" t="inlineStr"/>
      <c r="F32" s="44" t="inlineStr"/>
      <c r="G32" s="43" t="n">
        <v>1900</v>
      </c>
      <c r="H32" s="41" t="inlineStr"/>
      <c r="I32" s="43" t="inlineStr"/>
      <c r="J32" s="43" t="inlineStr"/>
      <c r="K32" s="43" t="inlineStr"/>
      <c r="L32" s="43" t="inlineStr"/>
      <c r="M32" s="43" t="inlineStr"/>
      <c r="N32" s="45" t="inlineStr"/>
    </row>
    <row r="33" ht="15" customHeight="1">
      <c r="A33" s="29" t="inlineStr">
        <is>
          <t>2026-09-14</t>
        </is>
      </c>
      <c r="B33" s="29" t="inlineStr">
        <is>
          <t>Mon</t>
        </is>
      </c>
      <c r="C33" s="29" t="n">
        <v>5</v>
      </c>
      <c r="D33" s="30" t="inlineStr">
        <is>
          <t>Rest (floats)</t>
        </is>
      </c>
      <c r="E33" s="31" t="inlineStr"/>
      <c r="F33" s="32" t="inlineStr"/>
      <c r="G33" s="31" t="n">
        <v>1900</v>
      </c>
      <c r="H33" s="29" t="inlineStr"/>
      <c r="I33" s="31" t="inlineStr"/>
      <c r="J33" s="31" t="inlineStr"/>
      <c r="K33" s="31" t="inlineStr"/>
      <c r="L33" s="31" t="inlineStr"/>
      <c r="M33" s="31" t="inlineStr"/>
      <c r="N33" s="33" t="inlineStr"/>
    </row>
    <row r="34" ht="15" customHeight="1">
      <c r="A34" s="34" t="inlineStr">
        <is>
          <t>2026-09-15</t>
        </is>
      </c>
      <c r="B34" s="34" t="inlineStr">
        <is>
          <t>Tue</t>
        </is>
      </c>
      <c r="C34" s="34" t="n">
        <v>5</v>
      </c>
      <c r="D34" s="35" t="inlineStr">
        <is>
          <t>S1 Run</t>
        </is>
      </c>
      <c r="E34" s="36" t="n">
        <v>8</v>
      </c>
      <c r="F34" s="37" t="inlineStr">
        <is>
          <t>5k TIME TRIAL</t>
        </is>
      </c>
      <c r="G34" s="36" t="n">
        <v>1900</v>
      </c>
      <c r="H34" s="34" t="inlineStr"/>
      <c r="I34" s="36" t="inlineStr"/>
      <c r="J34" s="36" t="inlineStr"/>
      <c r="K34" s="36" t="inlineStr"/>
      <c r="L34" s="36" t="inlineStr"/>
      <c r="M34" s="36" t="inlineStr"/>
      <c r="N34" s="38" t="inlineStr"/>
    </row>
    <row r="35" ht="15" customHeight="1">
      <c r="A35" s="34" t="inlineStr">
        <is>
          <t>2026-09-16</t>
        </is>
      </c>
      <c r="B35" s="34" t="inlineStr">
        <is>
          <t>Wed</t>
        </is>
      </c>
      <c r="C35" s="34" t="n">
        <v>5</v>
      </c>
      <c r="D35" s="39" t="inlineStr">
        <is>
          <t>S2 Legs + Core</t>
        </is>
      </c>
      <c r="E35" s="36" t="inlineStr"/>
      <c r="F35" s="37" t="inlineStr"/>
      <c r="G35" s="36" t="n">
        <v>1900</v>
      </c>
      <c r="H35" s="34" t="inlineStr"/>
      <c r="I35" s="36" t="inlineStr"/>
      <c r="J35" s="36" t="inlineStr"/>
      <c r="K35" s="36" t="inlineStr"/>
      <c r="L35" s="36" t="inlineStr"/>
      <c r="M35" s="36" t="inlineStr"/>
      <c r="N35" s="38" t="inlineStr"/>
    </row>
    <row r="36" ht="15" customHeight="1">
      <c r="A36" s="34" t="inlineStr">
        <is>
          <t>2026-09-17</t>
        </is>
      </c>
      <c r="B36" s="34" t="inlineStr">
        <is>
          <t>Thu</t>
        </is>
      </c>
      <c r="C36" s="34" t="n">
        <v>5</v>
      </c>
      <c r="D36" s="40" t="inlineStr">
        <is>
          <t>S3 Easy run</t>
        </is>
      </c>
      <c r="E36" s="36" t="n">
        <v>5</v>
      </c>
      <c r="F36" s="37" t="inlineStr">
        <is>
          <t>Conversational. HR &lt;=155.</t>
        </is>
      </c>
      <c r="G36" s="36" t="n">
        <v>1900</v>
      </c>
      <c r="H36" s="34" t="inlineStr"/>
      <c r="I36" s="36" t="inlineStr"/>
      <c r="J36" s="36" t="inlineStr"/>
      <c r="K36" s="36" t="inlineStr"/>
      <c r="L36" s="36" t="inlineStr"/>
      <c r="M36" s="36" t="inlineStr"/>
      <c r="N36" s="38" t="inlineStr"/>
    </row>
    <row r="37" ht="15" customHeight="1">
      <c r="A37" s="34" t="inlineStr">
        <is>
          <t>2026-09-18</t>
        </is>
      </c>
      <c r="B37" s="34" t="inlineStr">
        <is>
          <t>Fri</t>
        </is>
      </c>
      <c r="C37" s="34" t="n">
        <v>5</v>
      </c>
      <c r="D37" s="39" t="inlineStr">
        <is>
          <t>S4 Shoulders + Arms</t>
        </is>
      </c>
      <c r="E37" s="36" t="inlineStr"/>
      <c r="F37" s="37" t="inlineStr"/>
      <c r="G37" s="36" t="n">
        <v>1900</v>
      </c>
      <c r="H37" s="34" t="inlineStr"/>
      <c r="I37" s="36" t="inlineStr"/>
      <c r="J37" s="36" t="inlineStr"/>
      <c r="K37" s="36" t="inlineStr"/>
      <c r="L37" s="36" t="inlineStr"/>
      <c r="M37" s="36" t="inlineStr"/>
      <c r="N37" s="38" t="inlineStr"/>
    </row>
    <row r="38" ht="15" customHeight="1">
      <c r="A38" s="34" t="inlineStr">
        <is>
          <t>2026-09-19</t>
        </is>
      </c>
      <c r="B38" s="34" t="inlineStr">
        <is>
          <t>Sat</t>
        </is>
      </c>
      <c r="C38" s="34" t="n">
        <v>5</v>
      </c>
      <c r="D38" s="35" t="inlineStr">
        <is>
          <t>S5 Long run</t>
        </is>
      </c>
      <c r="E38" s="36" t="n">
        <v>12</v>
      </c>
      <c r="F38" s="37" t="inlineStr">
        <is>
          <t>All easy. HR &lt;=158.</t>
        </is>
      </c>
      <c r="G38" s="36" t="n">
        <v>1900</v>
      </c>
      <c r="H38" s="34" t="inlineStr"/>
      <c r="I38" s="36" t="inlineStr"/>
      <c r="J38" s="36" t="inlineStr"/>
      <c r="K38" s="36" t="inlineStr"/>
      <c r="L38" s="36" t="inlineStr"/>
      <c r="M38" s="36" t="inlineStr"/>
      <c r="N38" s="38" t="inlineStr"/>
    </row>
    <row r="39" ht="15" customHeight="1">
      <c r="A39" s="34" t="inlineStr">
        <is>
          <t>2026-09-20</t>
        </is>
      </c>
      <c r="B39" s="34" t="inlineStr">
        <is>
          <t>Sun</t>
        </is>
      </c>
      <c r="C39" s="34" t="n">
        <v>5</v>
      </c>
      <c r="D39" s="39" t="inlineStr">
        <is>
          <t>S6 Chest + Back</t>
        </is>
      </c>
      <c r="E39" s="36" t="inlineStr"/>
      <c r="F39" s="37" t="inlineStr"/>
      <c r="G39" s="36" t="n">
        <v>1900</v>
      </c>
      <c r="H39" s="34" t="inlineStr"/>
      <c r="I39" s="36" t="inlineStr"/>
      <c r="J39" s="36" t="inlineStr"/>
      <c r="K39" s="36" t="inlineStr"/>
      <c r="L39" s="36" t="inlineStr"/>
      <c r="M39" s="36" t="inlineStr"/>
      <c r="N39" s="38" t="inlineStr"/>
    </row>
    <row r="40" ht="15" customHeight="1">
      <c r="A40" s="29" t="inlineStr">
        <is>
          <t>2026-09-21</t>
        </is>
      </c>
      <c r="B40" s="29" t="inlineStr">
        <is>
          <t>Mon</t>
        </is>
      </c>
      <c r="C40" s="29" t="n">
        <v>6</v>
      </c>
      <c r="D40" s="30" t="inlineStr">
        <is>
          <t>Rest (floats)</t>
        </is>
      </c>
      <c r="E40" s="31" t="inlineStr"/>
      <c r="F40" s="32" t="inlineStr"/>
      <c r="G40" s="31" t="n">
        <v>2050</v>
      </c>
      <c r="H40" s="29" t="inlineStr"/>
      <c r="I40" s="31" t="inlineStr"/>
      <c r="J40" s="31" t="inlineStr"/>
      <c r="K40" s="31" t="inlineStr"/>
      <c r="L40" s="31" t="inlineStr"/>
      <c r="M40" s="31" t="inlineStr"/>
      <c r="N40" s="33" t="inlineStr"/>
    </row>
    <row r="41" ht="15" customHeight="1">
      <c r="A41" s="34" t="inlineStr">
        <is>
          <t>2026-09-22</t>
        </is>
      </c>
      <c r="B41" s="34" t="inlineStr">
        <is>
          <t>Tue</t>
        </is>
      </c>
      <c r="C41" s="34" t="n">
        <v>6</v>
      </c>
      <c r="D41" s="35" t="inlineStr">
        <is>
          <t>S1 Run</t>
        </is>
      </c>
      <c r="E41" s="36" t="n">
        <v>9</v>
      </c>
      <c r="F41" s="37" t="inlineStr">
        <is>
          <t>TEMPO 3x1km @6:20</t>
        </is>
      </c>
      <c r="G41" s="36" t="n">
        <v>2050</v>
      </c>
      <c r="H41" s="34" t="inlineStr"/>
      <c r="I41" s="36" t="inlineStr"/>
      <c r="J41" s="36" t="inlineStr"/>
      <c r="K41" s="36" t="inlineStr"/>
      <c r="L41" s="36" t="inlineStr"/>
      <c r="M41" s="36" t="inlineStr"/>
      <c r="N41" s="38" t="inlineStr"/>
    </row>
    <row r="42" ht="15" customHeight="1">
      <c r="A42" s="34" t="inlineStr">
        <is>
          <t>2026-09-23</t>
        </is>
      </c>
      <c r="B42" s="34" t="inlineStr">
        <is>
          <t>Wed</t>
        </is>
      </c>
      <c r="C42" s="34" t="n">
        <v>6</v>
      </c>
      <c r="D42" s="39" t="inlineStr">
        <is>
          <t>S2 Legs + Core</t>
        </is>
      </c>
      <c r="E42" s="36" t="inlineStr"/>
      <c r="F42" s="37" t="inlineStr"/>
      <c r="G42" s="36" t="n">
        <v>2050</v>
      </c>
      <c r="H42" s="34" t="inlineStr"/>
      <c r="I42" s="36" t="inlineStr"/>
      <c r="J42" s="36" t="inlineStr"/>
      <c r="K42" s="36" t="inlineStr"/>
      <c r="L42" s="36" t="inlineStr"/>
      <c r="M42" s="36" t="inlineStr"/>
      <c r="N42" s="38" t="inlineStr"/>
    </row>
    <row r="43" ht="15" customHeight="1">
      <c r="A43" s="34" t="inlineStr">
        <is>
          <t>2026-09-24</t>
        </is>
      </c>
      <c r="B43" s="34" t="inlineStr">
        <is>
          <t>Thu</t>
        </is>
      </c>
      <c r="C43" s="34" t="n">
        <v>6</v>
      </c>
      <c r="D43" s="40" t="inlineStr">
        <is>
          <t>S3 Easy run</t>
        </is>
      </c>
      <c r="E43" s="36" t="n">
        <v>7</v>
      </c>
      <c r="F43" s="37" t="inlineStr">
        <is>
          <t>Conversational. HR &lt;=155.</t>
        </is>
      </c>
      <c r="G43" s="36" t="n">
        <v>2050</v>
      </c>
      <c r="H43" s="34" t="inlineStr"/>
      <c r="I43" s="36" t="inlineStr"/>
      <c r="J43" s="36" t="inlineStr"/>
      <c r="K43" s="36" t="inlineStr"/>
      <c r="L43" s="36" t="inlineStr"/>
      <c r="M43" s="36" t="inlineStr"/>
      <c r="N43" s="38" t="inlineStr"/>
    </row>
    <row r="44" ht="15" customHeight="1">
      <c r="A44" s="34" t="inlineStr">
        <is>
          <t>2026-09-25</t>
        </is>
      </c>
      <c r="B44" s="34" t="inlineStr">
        <is>
          <t>Fri</t>
        </is>
      </c>
      <c r="C44" s="34" t="n">
        <v>6</v>
      </c>
      <c r="D44" s="39" t="inlineStr">
        <is>
          <t>S4 Shoulders + Arms</t>
        </is>
      </c>
      <c r="E44" s="36" t="inlineStr"/>
      <c r="F44" s="37" t="inlineStr"/>
      <c r="G44" s="36" t="n">
        <v>2050</v>
      </c>
      <c r="H44" s="34" t="inlineStr"/>
      <c r="I44" s="36" t="inlineStr"/>
      <c r="J44" s="36" t="inlineStr"/>
      <c r="K44" s="36" t="inlineStr"/>
      <c r="L44" s="36" t="inlineStr"/>
      <c r="M44" s="36" t="inlineStr"/>
      <c r="N44" s="38" t="inlineStr"/>
    </row>
    <row r="45" ht="15" customHeight="1">
      <c r="A45" s="34" t="inlineStr">
        <is>
          <t>2026-09-26</t>
        </is>
      </c>
      <c r="B45" s="34" t="inlineStr">
        <is>
          <t>Sat</t>
        </is>
      </c>
      <c r="C45" s="34" t="n">
        <v>6</v>
      </c>
      <c r="D45" s="35" t="inlineStr">
        <is>
          <t>S5 Long run</t>
        </is>
      </c>
      <c r="E45" s="36" t="n">
        <v>12</v>
      </c>
      <c r="F45" s="37" t="inlineStr">
        <is>
          <t>All easy. HR &lt;=158.</t>
        </is>
      </c>
      <c r="G45" s="36" t="n">
        <v>2050</v>
      </c>
      <c r="H45" s="34" t="inlineStr"/>
      <c r="I45" s="36" t="inlineStr"/>
      <c r="J45" s="36" t="inlineStr"/>
      <c r="K45" s="36" t="inlineStr"/>
      <c r="L45" s="36" t="inlineStr"/>
      <c r="M45" s="36" t="inlineStr"/>
      <c r="N45" s="38" t="inlineStr"/>
    </row>
    <row r="46" ht="15" customHeight="1">
      <c r="A46" s="34" t="inlineStr">
        <is>
          <t>2026-09-27</t>
        </is>
      </c>
      <c r="B46" s="34" t="inlineStr">
        <is>
          <t>Sun</t>
        </is>
      </c>
      <c r="C46" s="34" t="n">
        <v>6</v>
      </c>
      <c r="D46" s="39" t="inlineStr">
        <is>
          <t>S6 Chest + Back</t>
        </is>
      </c>
      <c r="E46" s="36" t="inlineStr"/>
      <c r="F46" s="37" t="inlineStr"/>
      <c r="G46" s="36" t="n">
        <v>2050</v>
      </c>
      <c r="H46" s="34" t="inlineStr"/>
      <c r="I46" s="36" t="inlineStr"/>
      <c r="J46" s="36" t="inlineStr"/>
      <c r="K46" s="36" t="inlineStr"/>
      <c r="L46" s="36" t="inlineStr"/>
      <c r="M46" s="36" t="inlineStr"/>
      <c r="N46" s="38" t="inlineStr"/>
    </row>
    <row r="47" ht="15" customHeight="1">
      <c r="A47" s="29" t="inlineStr">
        <is>
          <t>2026-09-28</t>
        </is>
      </c>
      <c r="B47" s="29" t="inlineStr">
        <is>
          <t>Mon</t>
        </is>
      </c>
      <c r="C47" s="29" t="n">
        <v>7</v>
      </c>
      <c r="D47" s="30" t="inlineStr">
        <is>
          <t>Rest (floats)</t>
        </is>
      </c>
      <c r="E47" s="31" t="inlineStr"/>
      <c r="F47" s="32" t="inlineStr"/>
      <c r="G47" s="31" t="n">
        <v>2050</v>
      </c>
      <c r="H47" s="29" t="inlineStr"/>
      <c r="I47" s="31" t="inlineStr"/>
      <c r="J47" s="31" t="inlineStr"/>
      <c r="K47" s="31" t="inlineStr"/>
      <c r="L47" s="31" t="inlineStr"/>
      <c r="M47" s="31" t="inlineStr"/>
      <c r="N47" s="33" t="inlineStr"/>
    </row>
    <row r="48" ht="15" customHeight="1">
      <c r="A48" s="34" t="inlineStr">
        <is>
          <t>2026-09-29</t>
        </is>
      </c>
      <c r="B48" s="34" t="inlineStr">
        <is>
          <t>Tue</t>
        </is>
      </c>
      <c r="C48" s="34" t="n">
        <v>7</v>
      </c>
      <c r="D48" s="35" t="inlineStr">
        <is>
          <t>S1 Run</t>
        </is>
      </c>
      <c r="E48" s="36" t="n">
        <v>10</v>
      </c>
      <c r="F48" s="37" t="inlineStr">
        <is>
          <t>TEMPO 4x1km @6:15</t>
        </is>
      </c>
      <c r="G48" s="36" t="n">
        <v>2050</v>
      </c>
      <c r="H48" s="34" t="inlineStr"/>
      <c r="I48" s="36" t="inlineStr"/>
      <c r="J48" s="36" t="inlineStr"/>
      <c r="K48" s="36" t="inlineStr"/>
      <c r="L48" s="36" t="inlineStr"/>
      <c r="M48" s="36" t="inlineStr"/>
      <c r="N48" s="38" t="inlineStr"/>
    </row>
    <row r="49" ht="15" customHeight="1">
      <c r="A49" s="34" t="inlineStr">
        <is>
          <t>2026-09-30</t>
        </is>
      </c>
      <c r="B49" s="34" t="inlineStr">
        <is>
          <t>Wed</t>
        </is>
      </c>
      <c r="C49" s="34" t="n">
        <v>7</v>
      </c>
      <c r="D49" s="39" t="inlineStr">
        <is>
          <t>S2 Legs + Core</t>
        </is>
      </c>
      <c r="E49" s="36" t="inlineStr"/>
      <c r="F49" s="37" t="inlineStr"/>
      <c r="G49" s="36" t="n">
        <v>2050</v>
      </c>
      <c r="H49" s="34" t="inlineStr"/>
      <c r="I49" s="36" t="inlineStr"/>
      <c r="J49" s="36" t="inlineStr"/>
      <c r="K49" s="36" t="inlineStr"/>
      <c r="L49" s="36" t="inlineStr"/>
      <c r="M49" s="36" t="inlineStr"/>
      <c r="N49" s="38" t="inlineStr"/>
    </row>
    <row r="50" ht="15" customHeight="1">
      <c r="A50" s="34" t="inlineStr">
        <is>
          <t>2026-10-01</t>
        </is>
      </c>
      <c r="B50" s="34" t="inlineStr">
        <is>
          <t>Thu</t>
        </is>
      </c>
      <c r="C50" s="34" t="n">
        <v>7</v>
      </c>
      <c r="D50" s="40" t="inlineStr">
        <is>
          <t>S3 Easy run</t>
        </is>
      </c>
      <c r="E50" s="36" t="n">
        <v>7</v>
      </c>
      <c r="F50" s="37" t="inlineStr">
        <is>
          <t>Conversational. HR &lt;=155.</t>
        </is>
      </c>
      <c r="G50" s="36" t="n">
        <v>2050</v>
      </c>
      <c r="H50" s="34" t="inlineStr"/>
      <c r="I50" s="36" t="inlineStr"/>
      <c r="J50" s="36" t="inlineStr"/>
      <c r="K50" s="36" t="inlineStr"/>
      <c r="L50" s="36" t="inlineStr"/>
      <c r="M50" s="36" t="inlineStr"/>
      <c r="N50" s="38" t="inlineStr"/>
    </row>
    <row r="51" ht="15" customHeight="1">
      <c r="A51" s="34" t="inlineStr">
        <is>
          <t>2026-10-02</t>
        </is>
      </c>
      <c r="B51" s="34" t="inlineStr">
        <is>
          <t>Fri</t>
        </is>
      </c>
      <c r="C51" s="34" t="n">
        <v>7</v>
      </c>
      <c r="D51" s="39" t="inlineStr">
        <is>
          <t>S4 Shoulders + Arms</t>
        </is>
      </c>
      <c r="E51" s="36" t="inlineStr"/>
      <c r="F51" s="37" t="inlineStr"/>
      <c r="G51" s="36" t="n">
        <v>2050</v>
      </c>
      <c r="H51" s="34" t="inlineStr"/>
      <c r="I51" s="36" t="inlineStr"/>
      <c r="J51" s="36" t="inlineStr"/>
      <c r="K51" s="36" t="inlineStr"/>
      <c r="L51" s="36" t="inlineStr"/>
      <c r="M51" s="36" t="inlineStr"/>
      <c r="N51" s="38" t="inlineStr"/>
    </row>
    <row r="52" ht="15" customHeight="1">
      <c r="A52" s="34" t="inlineStr">
        <is>
          <t>2026-10-03</t>
        </is>
      </c>
      <c r="B52" s="34" t="inlineStr">
        <is>
          <t>Sat</t>
        </is>
      </c>
      <c r="C52" s="34" t="n">
        <v>7</v>
      </c>
      <c r="D52" s="35" t="inlineStr">
        <is>
          <t>S5 Long run</t>
        </is>
      </c>
      <c r="E52" s="36" t="n">
        <v>14</v>
      </c>
      <c r="F52" s="37" t="inlineStr">
        <is>
          <t>All easy. HR &lt;=158.</t>
        </is>
      </c>
      <c r="G52" s="36" t="n">
        <v>2050</v>
      </c>
      <c r="H52" s="34" t="inlineStr"/>
      <c r="I52" s="36" t="inlineStr"/>
      <c r="J52" s="36" t="inlineStr"/>
      <c r="K52" s="36" t="inlineStr"/>
      <c r="L52" s="36" t="inlineStr"/>
      <c r="M52" s="36" t="inlineStr"/>
      <c r="N52" s="38" t="inlineStr"/>
    </row>
    <row r="53" ht="15" customHeight="1">
      <c r="A53" s="34" t="inlineStr">
        <is>
          <t>2026-10-04</t>
        </is>
      </c>
      <c r="B53" s="34" t="inlineStr">
        <is>
          <t>Sun</t>
        </is>
      </c>
      <c r="C53" s="34" t="n">
        <v>7</v>
      </c>
      <c r="D53" s="39" t="inlineStr">
        <is>
          <t>S6 Chest + Back</t>
        </is>
      </c>
      <c r="E53" s="36" t="inlineStr"/>
      <c r="F53" s="37" t="inlineStr"/>
      <c r="G53" s="36" t="n">
        <v>2050</v>
      </c>
      <c r="H53" s="34" t="inlineStr"/>
      <c r="I53" s="36" t="inlineStr"/>
      <c r="J53" s="36" t="inlineStr"/>
      <c r="K53" s="36" t="inlineStr"/>
      <c r="L53" s="36" t="inlineStr"/>
      <c r="M53" s="36" t="inlineStr"/>
      <c r="N53" s="38" t="inlineStr"/>
    </row>
    <row r="54" ht="15" customHeight="1">
      <c r="A54" s="29" t="inlineStr">
        <is>
          <t>2026-10-05</t>
        </is>
      </c>
      <c r="B54" s="29" t="inlineStr">
        <is>
          <t>Mon</t>
        </is>
      </c>
      <c r="C54" s="29" t="n">
        <v>8</v>
      </c>
      <c r="D54" s="30" t="inlineStr">
        <is>
          <t>Rest (floats)</t>
        </is>
      </c>
      <c r="E54" s="31" t="inlineStr"/>
      <c r="F54" s="32" t="inlineStr"/>
      <c r="G54" s="31" t="n">
        <v>2050</v>
      </c>
      <c r="H54" s="29" t="inlineStr"/>
      <c r="I54" s="31" t="inlineStr"/>
      <c r="J54" s="31" t="inlineStr"/>
      <c r="K54" s="31" t="inlineStr"/>
      <c r="L54" s="31" t="inlineStr"/>
      <c r="M54" s="31" t="inlineStr"/>
      <c r="N54" s="33" t="inlineStr"/>
    </row>
    <row r="55" ht="15" customHeight="1">
      <c r="A55" s="41" t="inlineStr">
        <is>
          <t>2026-10-06</t>
        </is>
      </c>
      <c r="B55" s="41" t="inlineStr">
        <is>
          <t>Tue</t>
        </is>
      </c>
      <c r="C55" s="41" t="n">
        <v>8</v>
      </c>
      <c r="D55" s="42" t="inlineStr">
        <is>
          <t>S1 Run</t>
        </is>
      </c>
      <c r="E55" s="43" t="n">
        <v>8</v>
      </c>
      <c r="F55" s="44" t="inlineStr">
        <is>
          <t>INTERVALS 400m x6 @4:30</t>
        </is>
      </c>
      <c r="G55" s="43" t="n">
        <v>2050</v>
      </c>
      <c r="H55" s="41" t="inlineStr"/>
      <c r="I55" s="43" t="inlineStr"/>
      <c r="J55" s="43" t="inlineStr"/>
      <c r="K55" s="43" t="inlineStr"/>
      <c r="L55" s="43" t="inlineStr"/>
      <c r="M55" s="43" t="inlineStr"/>
      <c r="N55" s="45" t="inlineStr"/>
    </row>
    <row r="56" ht="15" customHeight="1">
      <c r="A56" s="41" t="inlineStr">
        <is>
          <t>2026-10-07</t>
        </is>
      </c>
      <c r="B56" s="41" t="inlineStr">
        <is>
          <t>Wed</t>
        </is>
      </c>
      <c r="C56" s="41" t="n">
        <v>8</v>
      </c>
      <c r="D56" s="46" t="inlineStr">
        <is>
          <t>S2 Legs + Core</t>
        </is>
      </c>
      <c r="E56" s="43" t="inlineStr"/>
      <c r="F56" s="44" t="inlineStr"/>
      <c r="G56" s="43" t="n">
        <v>2050</v>
      </c>
      <c r="H56" s="41" t="inlineStr"/>
      <c r="I56" s="43" t="inlineStr"/>
      <c r="J56" s="43" t="inlineStr"/>
      <c r="K56" s="43" t="inlineStr"/>
      <c r="L56" s="43" t="inlineStr"/>
      <c r="M56" s="43" t="inlineStr"/>
      <c r="N56" s="45" t="inlineStr"/>
    </row>
    <row r="57" ht="15" customHeight="1">
      <c r="A57" s="41" t="inlineStr">
        <is>
          <t>2026-10-08</t>
        </is>
      </c>
      <c r="B57" s="41" t="inlineStr">
        <is>
          <t>Thu</t>
        </is>
      </c>
      <c r="C57" s="41" t="n">
        <v>8</v>
      </c>
      <c r="D57" s="47" t="inlineStr">
        <is>
          <t>S3 Easy run</t>
        </is>
      </c>
      <c r="E57" s="43" t="n">
        <v>6</v>
      </c>
      <c r="F57" s="44" t="inlineStr">
        <is>
          <t>Conversational. HR &lt;=155.</t>
        </is>
      </c>
      <c r="G57" s="43" t="n">
        <v>2050</v>
      </c>
      <c r="H57" s="41" t="inlineStr"/>
      <c r="I57" s="43" t="inlineStr"/>
      <c r="J57" s="43" t="inlineStr"/>
      <c r="K57" s="43" t="inlineStr"/>
      <c r="L57" s="43" t="inlineStr"/>
      <c r="M57" s="43" t="inlineStr"/>
      <c r="N57" s="45" t="inlineStr"/>
    </row>
    <row r="58" ht="15" customHeight="1">
      <c r="A58" s="41" t="inlineStr">
        <is>
          <t>2026-10-09</t>
        </is>
      </c>
      <c r="B58" s="41" t="inlineStr">
        <is>
          <t>Fri</t>
        </is>
      </c>
      <c r="C58" s="41" t="n">
        <v>8</v>
      </c>
      <c r="D58" s="46" t="inlineStr">
        <is>
          <t>S4 Shoulders + Arms</t>
        </is>
      </c>
      <c r="E58" s="43" t="inlineStr"/>
      <c r="F58" s="44" t="inlineStr"/>
      <c r="G58" s="43" t="n">
        <v>2050</v>
      </c>
      <c r="H58" s="41" t="inlineStr"/>
      <c r="I58" s="43" t="inlineStr"/>
      <c r="J58" s="43" t="inlineStr"/>
      <c r="K58" s="43" t="inlineStr"/>
      <c r="L58" s="43" t="inlineStr"/>
      <c r="M58" s="43" t="inlineStr"/>
      <c r="N58" s="45" t="inlineStr"/>
    </row>
    <row r="59" ht="15" customHeight="1">
      <c r="A59" s="41" t="inlineStr">
        <is>
          <t>2026-10-10</t>
        </is>
      </c>
      <c r="B59" s="41" t="inlineStr">
        <is>
          <t>Sat</t>
        </is>
      </c>
      <c r="C59" s="41" t="n">
        <v>8</v>
      </c>
      <c r="D59" s="42" t="inlineStr">
        <is>
          <t>S5 Long run</t>
        </is>
      </c>
      <c r="E59" s="43" t="n">
        <v>9</v>
      </c>
      <c r="F59" s="44" t="inlineStr">
        <is>
          <t>All easy. HR &lt;=158.</t>
        </is>
      </c>
      <c r="G59" s="43" t="n">
        <v>2050</v>
      </c>
      <c r="H59" s="41" t="inlineStr"/>
      <c r="I59" s="43" t="inlineStr"/>
      <c r="J59" s="43" t="inlineStr"/>
      <c r="K59" s="43" t="inlineStr"/>
      <c r="L59" s="43" t="inlineStr"/>
      <c r="M59" s="43" t="inlineStr"/>
      <c r="N59" s="45" t="inlineStr"/>
    </row>
    <row r="60" ht="15" customHeight="1">
      <c r="A60" s="41" t="inlineStr">
        <is>
          <t>2026-10-11</t>
        </is>
      </c>
      <c r="B60" s="41" t="inlineStr">
        <is>
          <t>Sun</t>
        </is>
      </c>
      <c r="C60" s="41" t="n">
        <v>8</v>
      </c>
      <c r="D60" s="46" t="inlineStr">
        <is>
          <t>S6 Chest + Back</t>
        </is>
      </c>
      <c r="E60" s="43" t="inlineStr"/>
      <c r="F60" s="44" t="inlineStr"/>
      <c r="G60" s="43" t="n">
        <v>2050</v>
      </c>
      <c r="H60" s="41" t="inlineStr"/>
      <c r="I60" s="43" t="inlineStr"/>
      <c r="J60" s="43" t="inlineStr"/>
      <c r="K60" s="43" t="inlineStr"/>
      <c r="L60" s="43" t="inlineStr"/>
      <c r="M60" s="43" t="inlineStr"/>
      <c r="N60" s="45" t="inlineStr"/>
    </row>
    <row r="61" ht="15" customHeight="1">
      <c r="A61" s="29" t="inlineStr">
        <is>
          <t>2026-10-12</t>
        </is>
      </c>
      <c r="B61" s="29" t="inlineStr">
        <is>
          <t>Mon</t>
        </is>
      </c>
      <c r="C61" s="29" t="n">
        <v>9</v>
      </c>
      <c r="D61" s="30" t="inlineStr">
        <is>
          <t>Rest (floats)</t>
        </is>
      </c>
      <c r="E61" s="31" t="inlineStr"/>
      <c r="F61" s="32" t="inlineStr"/>
      <c r="G61" s="31" t="n">
        <v>2050</v>
      </c>
      <c r="H61" s="29" t="inlineStr"/>
      <c r="I61" s="31" t="inlineStr"/>
      <c r="J61" s="31" t="inlineStr"/>
      <c r="K61" s="31" t="inlineStr"/>
      <c r="L61" s="31" t="inlineStr"/>
      <c r="M61" s="31" t="inlineStr"/>
      <c r="N61" s="33" t="inlineStr"/>
    </row>
    <row r="62" ht="15" customHeight="1">
      <c r="A62" s="34" t="inlineStr">
        <is>
          <t>2026-10-13</t>
        </is>
      </c>
      <c r="B62" s="34" t="inlineStr">
        <is>
          <t>Tue</t>
        </is>
      </c>
      <c r="C62" s="34" t="n">
        <v>9</v>
      </c>
      <c r="D62" s="35" t="inlineStr">
        <is>
          <t>S1 Run</t>
        </is>
      </c>
      <c r="E62" s="36" t="n">
        <v>11</v>
      </c>
      <c r="F62" s="37" t="inlineStr">
        <is>
          <t>TEMPO 5x1km @6:10</t>
        </is>
      </c>
      <c r="G62" s="36" t="n">
        <v>2050</v>
      </c>
      <c r="H62" s="34" t="inlineStr"/>
      <c r="I62" s="36" t="inlineStr"/>
      <c r="J62" s="36" t="inlineStr"/>
      <c r="K62" s="36" t="inlineStr"/>
      <c r="L62" s="36" t="inlineStr"/>
      <c r="M62" s="36" t="inlineStr"/>
      <c r="N62" s="38" t="inlineStr"/>
    </row>
    <row r="63" ht="15" customHeight="1">
      <c r="A63" s="34" t="inlineStr">
        <is>
          <t>2026-10-14</t>
        </is>
      </c>
      <c r="B63" s="34" t="inlineStr">
        <is>
          <t>Wed</t>
        </is>
      </c>
      <c r="C63" s="34" t="n">
        <v>9</v>
      </c>
      <c r="D63" s="39" t="inlineStr">
        <is>
          <t>S2 Legs + Core</t>
        </is>
      </c>
      <c r="E63" s="36" t="inlineStr"/>
      <c r="F63" s="37" t="inlineStr"/>
      <c r="G63" s="36" t="n">
        <v>2050</v>
      </c>
      <c r="H63" s="34" t="inlineStr"/>
      <c r="I63" s="36" t="inlineStr"/>
      <c r="J63" s="36" t="inlineStr"/>
      <c r="K63" s="36" t="inlineStr"/>
      <c r="L63" s="36" t="inlineStr"/>
      <c r="M63" s="36" t="inlineStr"/>
      <c r="N63" s="38" t="inlineStr"/>
    </row>
    <row r="64" ht="15" customHeight="1">
      <c r="A64" s="34" t="inlineStr">
        <is>
          <t>2026-10-15</t>
        </is>
      </c>
      <c r="B64" s="34" t="inlineStr">
        <is>
          <t>Thu</t>
        </is>
      </c>
      <c r="C64" s="34" t="n">
        <v>9</v>
      </c>
      <c r="D64" s="40" t="inlineStr">
        <is>
          <t>S3 Easy run</t>
        </is>
      </c>
      <c r="E64" s="36" t="n">
        <v>8</v>
      </c>
      <c r="F64" s="37" t="inlineStr">
        <is>
          <t>Conversational. HR &lt;=155.</t>
        </is>
      </c>
      <c r="G64" s="36" t="n">
        <v>2050</v>
      </c>
      <c r="H64" s="34" t="inlineStr"/>
      <c r="I64" s="36" t="inlineStr"/>
      <c r="J64" s="36" t="inlineStr"/>
      <c r="K64" s="36" t="inlineStr"/>
      <c r="L64" s="36" t="inlineStr"/>
      <c r="M64" s="36" t="inlineStr"/>
      <c r="N64" s="38" t="inlineStr"/>
    </row>
    <row r="65" ht="15" customHeight="1">
      <c r="A65" s="34" t="inlineStr">
        <is>
          <t>2026-10-16</t>
        </is>
      </c>
      <c r="B65" s="34" t="inlineStr">
        <is>
          <t>Fri</t>
        </is>
      </c>
      <c r="C65" s="34" t="n">
        <v>9</v>
      </c>
      <c r="D65" s="39" t="inlineStr">
        <is>
          <t>S4 Shoulders + Arms</t>
        </is>
      </c>
      <c r="E65" s="36" t="inlineStr"/>
      <c r="F65" s="37" t="inlineStr"/>
      <c r="G65" s="36" t="n">
        <v>2050</v>
      </c>
      <c r="H65" s="34" t="inlineStr"/>
      <c r="I65" s="36" t="inlineStr"/>
      <c r="J65" s="36" t="inlineStr"/>
      <c r="K65" s="36" t="inlineStr"/>
      <c r="L65" s="36" t="inlineStr"/>
      <c r="M65" s="36" t="inlineStr"/>
      <c r="N65" s="38" t="inlineStr"/>
    </row>
    <row r="66" ht="15" customHeight="1">
      <c r="A66" s="34" t="inlineStr">
        <is>
          <t>2026-10-17</t>
        </is>
      </c>
      <c r="B66" s="34" t="inlineStr">
        <is>
          <t>Sat</t>
        </is>
      </c>
      <c r="C66" s="34" t="n">
        <v>9</v>
      </c>
      <c r="D66" s="35" t="inlineStr">
        <is>
          <t>S5 Long run</t>
        </is>
      </c>
      <c r="E66" s="36" t="n">
        <v>15</v>
      </c>
      <c r="F66" s="37" t="inlineStr">
        <is>
          <t>All easy. HR &lt;=158.</t>
        </is>
      </c>
      <c r="G66" s="36" t="n">
        <v>2050</v>
      </c>
      <c r="H66" s="34" t="inlineStr"/>
      <c r="I66" s="36" t="inlineStr"/>
      <c r="J66" s="36" t="inlineStr"/>
      <c r="K66" s="36" t="inlineStr"/>
      <c r="L66" s="36" t="inlineStr"/>
      <c r="M66" s="36" t="inlineStr"/>
      <c r="N66" s="38" t="inlineStr"/>
    </row>
    <row r="67" ht="15" customHeight="1">
      <c r="A67" s="34" t="inlineStr">
        <is>
          <t>2026-10-18</t>
        </is>
      </c>
      <c r="B67" s="34" t="inlineStr">
        <is>
          <t>Sun</t>
        </is>
      </c>
      <c r="C67" s="34" t="n">
        <v>9</v>
      </c>
      <c r="D67" s="39" t="inlineStr">
        <is>
          <t>S6 Chest + Back</t>
        </is>
      </c>
      <c r="E67" s="36" t="inlineStr"/>
      <c r="F67" s="37" t="inlineStr"/>
      <c r="G67" s="36" t="n">
        <v>2050</v>
      </c>
      <c r="H67" s="34" t="inlineStr"/>
      <c r="I67" s="36" t="inlineStr"/>
      <c r="J67" s="36" t="inlineStr"/>
      <c r="K67" s="36" t="inlineStr"/>
      <c r="L67" s="36" t="inlineStr"/>
      <c r="M67" s="36" t="inlineStr"/>
      <c r="N67" s="38" t="inlineStr"/>
    </row>
    <row r="68" ht="15" customHeight="1">
      <c r="A68" s="29" t="inlineStr">
        <is>
          <t>2026-10-19</t>
        </is>
      </c>
      <c r="B68" s="29" t="inlineStr">
        <is>
          <t>Mon</t>
        </is>
      </c>
      <c r="C68" s="29" t="n">
        <v>10</v>
      </c>
      <c r="D68" s="30" t="inlineStr">
        <is>
          <t>Rest (floats)</t>
        </is>
      </c>
      <c r="E68" s="31" t="inlineStr"/>
      <c r="F68" s="32" t="inlineStr"/>
      <c r="G68" s="31" t="n">
        <v>2050</v>
      </c>
      <c r="H68" s="29" t="inlineStr"/>
      <c r="I68" s="31" t="inlineStr"/>
      <c r="J68" s="31" t="inlineStr"/>
      <c r="K68" s="31" t="inlineStr"/>
      <c r="L68" s="31" t="inlineStr"/>
      <c r="M68" s="31" t="inlineStr"/>
      <c r="N68" s="33" t="inlineStr"/>
    </row>
    <row r="69" ht="15" customHeight="1">
      <c r="A69" s="34" t="inlineStr">
        <is>
          <t>2026-10-20</t>
        </is>
      </c>
      <c r="B69" s="34" t="inlineStr">
        <is>
          <t>Tue</t>
        </is>
      </c>
      <c r="C69" s="34" t="n">
        <v>10</v>
      </c>
      <c r="D69" s="35" t="inlineStr">
        <is>
          <t>S1 Run</t>
        </is>
      </c>
      <c r="E69" s="36" t="n">
        <v>12</v>
      </c>
      <c r="F69" s="37" t="inlineStr">
        <is>
          <t>TEMPO 2x3km @6:20</t>
        </is>
      </c>
      <c r="G69" s="36" t="n">
        <v>2050</v>
      </c>
      <c r="H69" s="34" t="inlineStr"/>
      <c r="I69" s="36" t="inlineStr"/>
      <c r="J69" s="36" t="inlineStr"/>
      <c r="K69" s="36" t="inlineStr"/>
      <c r="L69" s="36" t="inlineStr"/>
      <c r="M69" s="36" t="inlineStr"/>
      <c r="N69" s="38" t="inlineStr"/>
    </row>
    <row r="70" ht="15" customHeight="1">
      <c r="A70" s="34" t="inlineStr">
        <is>
          <t>2026-10-21</t>
        </is>
      </c>
      <c r="B70" s="34" t="inlineStr">
        <is>
          <t>Wed</t>
        </is>
      </c>
      <c r="C70" s="34" t="n">
        <v>10</v>
      </c>
      <c r="D70" s="39" t="inlineStr">
        <is>
          <t>S2 Legs + Core</t>
        </is>
      </c>
      <c r="E70" s="36" t="inlineStr"/>
      <c r="F70" s="37" t="inlineStr"/>
      <c r="G70" s="36" t="n">
        <v>2050</v>
      </c>
      <c r="H70" s="34" t="inlineStr"/>
      <c r="I70" s="36" t="inlineStr"/>
      <c r="J70" s="36" t="inlineStr"/>
      <c r="K70" s="36" t="inlineStr"/>
      <c r="L70" s="36" t="inlineStr"/>
      <c r="M70" s="36" t="inlineStr"/>
      <c r="N70" s="38" t="inlineStr"/>
    </row>
    <row r="71" ht="15" customHeight="1">
      <c r="A71" s="34" t="inlineStr">
        <is>
          <t>2026-10-22</t>
        </is>
      </c>
      <c r="B71" s="34" t="inlineStr">
        <is>
          <t>Thu</t>
        </is>
      </c>
      <c r="C71" s="34" t="n">
        <v>10</v>
      </c>
      <c r="D71" s="40" t="inlineStr">
        <is>
          <t>S3 Easy run</t>
        </is>
      </c>
      <c r="E71" s="36" t="n">
        <v>9</v>
      </c>
      <c r="F71" s="37" t="inlineStr">
        <is>
          <t>Conversational. HR &lt;=155.</t>
        </is>
      </c>
      <c r="G71" s="36" t="n">
        <v>2050</v>
      </c>
      <c r="H71" s="34" t="inlineStr"/>
      <c r="I71" s="36" t="inlineStr"/>
      <c r="J71" s="36" t="inlineStr"/>
      <c r="K71" s="36" t="inlineStr"/>
      <c r="L71" s="36" t="inlineStr"/>
      <c r="M71" s="36" t="inlineStr"/>
      <c r="N71" s="38" t="inlineStr"/>
    </row>
    <row r="72" ht="15" customHeight="1">
      <c r="A72" s="34" t="inlineStr">
        <is>
          <t>2026-10-23</t>
        </is>
      </c>
      <c r="B72" s="34" t="inlineStr">
        <is>
          <t>Fri</t>
        </is>
      </c>
      <c r="C72" s="34" t="n">
        <v>10</v>
      </c>
      <c r="D72" s="39" t="inlineStr">
        <is>
          <t>S4 Shoulders + Arms</t>
        </is>
      </c>
      <c r="E72" s="36" t="inlineStr"/>
      <c r="F72" s="37" t="inlineStr"/>
      <c r="G72" s="36" t="n">
        <v>2050</v>
      </c>
      <c r="H72" s="34" t="inlineStr"/>
      <c r="I72" s="36" t="inlineStr"/>
      <c r="J72" s="36" t="inlineStr"/>
      <c r="K72" s="36" t="inlineStr"/>
      <c r="L72" s="36" t="inlineStr"/>
      <c r="M72" s="36" t="inlineStr"/>
      <c r="N72" s="38" t="inlineStr"/>
    </row>
    <row r="73" ht="15" customHeight="1">
      <c r="A73" s="34" t="inlineStr">
        <is>
          <t>2026-10-24</t>
        </is>
      </c>
      <c r="B73" s="34" t="inlineStr">
        <is>
          <t>Sat</t>
        </is>
      </c>
      <c r="C73" s="34" t="n">
        <v>10</v>
      </c>
      <c r="D73" s="35" t="inlineStr">
        <is>
          <t>S5 Long run</t>
        </is>
      </c>
      <c r="E73" s="36" t="n">
        <v>16</v>
      </c>
      <c r="F73" s="37" t="inlineStr">
        <is>
          <t>All easy. HR &lt;=158.</t>
        </is>
      </c>
      <c r="G73" s="36" t="n">
        <v>2050</v>
      </c>
      <c r="H73" s="34" t="inlineStr"/>
      <c r="I73" s="36" t="inlineStr"/>
      <c r="J73" s="36" t="inlineStr"/>
      <c r="K73" s="36" t="inlineStr"/>
      <c r="L73" s="36" t="inlineStr"/>
      <c r="M73" s="36" t="inlineStr"/>
      <c r="N73" s="38" t="inlineStr"/>
    </row>
    <row r="74" ht="15" customHeight="1">
      <c r="A74" s="34" t="inlineStr">
        <is>
          <t>2026-10-25</t>
        </is>
      </c>
      <c r="B74" s="34" t="inlineStr">
        <is>
          <t>Sun</t>
        </is>
      </c>
      <c r="C74" s="34" t="n">
        <v>10</v>
      </c>
      <c r="D74" s="39" t="inlineStr">
        <is>
          <t>S6 Chest + Back</t>
        </is>
      </c>
      <c r="E74" s="36" t="inlineStr"/>
      <c r="F74" s="37" t="inlineStr"/>
      <c r="G74" s="36" t="n">
        <v>2050</v>
      </c>
      <c r="H74" s="34" t="inlineStr"/>
      <c r="I74" s="36" t="inlineStr"/>
      <c r="J74" s="36" t="inlineStr"/>
      <c r="K74" s="36" t="inlineStr"/>
      <c r="L74" s="36" t="inlineStr"/>
      <c r="M74" s="36" t="inlineStr"/>
      <c r="N74" s="38" t="inlineStr"/>
    </row>
    <row r="75" ht="15" customHeight="1">
      <c r="A75" s="29" t="inlineStr">
        <is>
          <t>2026-10-26</t>
        </is>
      </c>
      <c r="B75" s="29" t="inlineStr">
        <is>
          <t>Mon</t>
        </is>
      </c>
      <c r="C75" s="29" t="n">
        <v>11</v>
      </c>
      <c r="D75" s="30" t="inlineStr">
        <is>
          <t>Rest (floats)</t>
        </is>
      </c>
      <c r="E75" s="31" t="inlineStr"/>
      <c r="F75" s="32" t="inlineStr"/>
      <c r="G75" s="31" t="n">
        <v>2050</v>
      </c>
      <c r="H75" s="29" t="inlineStr"/>
      <c r="I75" s="31" t="inlineStr"/>
      <c r="J75" s="31" t="inlineStr"/>
      <c r="K75" s="31" t="inlineStr"/>
      <c r="L75" s="31" t="inlineStr"/>
      <c r="M75" s="31" t="inlineStr"/>
      <c r="N75" s="33" t="inlineStr"/>
    </row>
    <row r="76" ht="15" customHeight="1">
      <c r="A76" s="41" t="inlineStr">
        <is>
          <t>2026-10-27</t>
        </is>
      </c>
      <c r="B76" s="41" t="inlineStr">
        <is>
          <t>Tue</t>
        </is>
      </c>
      <c r="C76" s="41" t="n">
        <v>11</v>
      </c>
      <c r="D76" s="42" t="inlineStr">
        <is>
          <t>S1 Run</t>
        </is>
      </c>
      <c r="E76" s="43" t="n">
        <v>9</v>
      </c>
      <c r="F76" s="44" t="inlineStr">
        <is>
          <t>10k TIME TRIAL</t>
        </is>
      </c>
      <c r="G76" s="43" t="n">
        <v>2050</v>
      </c>
      <c r="H76" s="41" t="inlineStr"/>
      <c r="I76" s="43" t="inlineStr"/>
      <c r="J76" s="43" t="inlineStr"/>
      <c r="K76" s="43" t="inlineStr"/>
      <c r="L76" s="43" t="inlineStr"/>
      <c r="M76" s="43" t="inlineStr"/>
      <c r="N76" s="45" t="inlineStr"/>
    </row>
    <row r="77" ht="15" customHeight="1">
      <c r="A77" s="41" t="inlineStr">
        <is>
          <t>2026-10-28</t>
        </is>
      </c>
      <c r="B77" s="41" t="inlineStr">
        <is>
          <t>Wed</t>
        </is>
      </c>
      <c r="C77" s="41" t="n">
        <v>11</v>
      </c>
      <c r="D77" s="46" t="inlineStr">
        <is>
          <t>S2 Legs + Core</t>
        </is>
      </c>
      <c r="E77" s="43" t="inlineStr"/>
      <c r="F77" s="44" t="inlineStr"/>
      <c r="G77" s="43" t="n">
        <v>2050</v>
      </c>
      <c r="H77" s="41" t="inlineStr"/>
      <c r="I77" s="43" t="inlineStr"/>
      <c r="J77" s="43" t="inlineStr"/>
      <c r="K77" s="43" t="inlineStr"/>
      <c r="L77" s="43" t="inlineStr"/>
      <c r="M77" s="43" t="inlineStr"/>
      <c r="N77" s="45" t="inlineStr"/>
    </row>
    <row r="78" ht="15" customHeight="1">
      <c r="A78" s="41" t="inlineStr">
        <is>
          <t>2026-10-29</t>
        </is>
      </c>
      <c r="B78" s="41" t="inlineStr">
        <is>
          <t>Thu</t>
        </is>
      </c>
      <c r="C78" s="41" t="n">
        <v>11</v>
      </c>
      <c r="D78" s="47" t="inlineStr">
        <is>
          <t>S3 Easy run</t>
        </is>
      </c>
      <c r="E78" s="43" t="n">
        <v>8</v>
      </c>
      <c r="F78" s="44" t="inlineStr">
        <is>
          <t>Conversational. HR &lt;=155.</t>
        </is>
      </c>
      <c r="G78" s="43" t="n">
        <v>2050</v>
      </c>
      <c r="H78" s="41" t="inlineStr"/>
      <c r="I78" s="43" t="inlineStr"/>
      <c r="J78" s="43" t="inlineStr"/>
      <c r="K78" s="43" t="inlineStr"/>
      <c r="L78" s="43" t="inlineStr"/>
      <c r="M78" s="43" t="inlineStr"/>
      <c r="N78" s="45" t="inlineStr"/>
    </row>
    <row r="79" ht="15" customHeight="1">
      <c r="A79" s="41" t="inlineStr">
        <is>
          <t>2026-10-30</t>
        </is>
      </c>
      <c r="B79" s="41" t="inlineStr">
        <is>
          <t>Fri</t>
        </is>
      </c>
      <c r="C79" s="41" t="n">
        <v>11</v>
      </c>
      <c r="D79" s="46" t="inlineStr">
        <is>
          <t>S4 Shoulders + Arms</t>
        </is>
      </c>
      <c r="E79" s="43" t="inlineStr"/>
      <c r="F79" s="44" t="inlineStr"/>
      <c r="G79" s="43" t="n">
        <v>2050</v>
      </c>
      <c r="H79" s="41" t="inlineStr"/>
      <c r="I79" s="43" t="inlineStr"/>
      <c r="J79" s="43" t="inlineStr"/>
      <c r="K79" s="43" t="inlineStr"/>
      <c r="L79" s="43" t="inlineStr"/>
      <c r="M79" s="43" t="inlineStr"/>
      <c r="N79" s="45" t="inlineStr"/>
    </row>
    <row r="80" ht="15" customHeight="1">
      <c r="A80" s="41" t="inlineStr">
        <is>
          <t>2026-10-31</t>
        </is>
      </c>
      <c r="B80" s="41" t="inlineStr">
        <is>
          <t>Sat</t>
        </is>
      </c>
      <c r="C80" s="41" t="n">
        <v>11</v>
      </c>
      <c r="D80" s="42" t="inlineStr">
        <is>
          <t>S5 Long run</t>
        </is>
      </c>
      <c r="E80" s="43" t="n">
        <v>10</v>
      </c>
      <c r="F80" s="44" t="inlineStr">
        <is>
          <t>All easy. HR &lt;=158.</t>
        </is>
      </c>
      <c r="G80" s="43" t="n">
        <v>2050</v>
      </c>
      <c r="H80" s="41" t="inlineStr"/>
      <c r="I80" s="43" t="inlineStr"/>
      <c r="J80" s="43" t="inlineStr"/>
      <c r="K80" s="43" t="inlineStr"/>
      <c r="L80" s="43" t="inlineStr"/>
      <c r="M80" s="43" t="inlineStr"/>
      <c r="N80" s="45" t="inlineStr"/>
    </row>
    <row r="81" ht="15" customHeight="1">
      <c r="A81" s="41" t="inlineStr">
        <is>
          <t>2026-11-01</t>
        </is>
      </c>
      <c r="B81" s="41" t="inlineStr">
        <is>
          <t>Sun</t>
        </is>
      </c>
      <c r="C81" s="41" t="n">
        <v>11</v>
      </c>
      <c r="D81" s="46" t="inlineStr">
        <is>
          <t>S6 Chest + Back</t>
        </is>
      </c>
      <c r="E81" s="43" t="inlineStr"/>
      <c r="F81" s="44" t="inlineStr"/>
      <c r="G81" s="43" t="n">
        <v>2050</v>
      </c>
      <c r="H81" s="41" t="inlineStr"/>
      <c r="I81" s="43" t="inlineStr"/>
      <c r="J81" s="43" t="inlineStr"/>
      <c r="K81" s="43" t="inlineStr"/>
      <c r="L81" s="43" t="inlineStr"/>
      <c r="M81" s="43" t="inlineStr"/>
      <c r="N81" s="45" t="inlineStr"/>
    </row>
    <row r="82" ht="15" customHeight="1">
      <c r="A82" s="29" t="inlineStr">
        <is>
          <t>2026-11-02</t>
        </is>
      </c>
      <c r="B82" s="29" t="inlineStr">
        <is>
          <t>Mon</t>
        </is>
      </c>
      <c r="C82" s="29" t="n">
        <v>12</v>
      </c>
      <c r="D82" s="30" t="inlineStr">
        <is>
          <t>Rest (floats)</t>
        </is>
      </c>
      <c r="E82" s="31" t="inlineStr"/>
      <c r="F82" s="32" t="inlineStr"/>
      <c r="G82" s="31" t="n">
        <v>2200</v>
      </c>
      <c r="H82" s="29" t="inlineStr"/>
      <c r="I82" s="31" t="inlineStr"/>
      <c r="J82" s="31" t="inlineStr"/>
      <c r="K82" s="31" t="inlineStr"/>
      <c r="L82" s="31" t="inlineStr"/>
      <c r="M82" s="31" t="inlineStr"/>
      <c r="N82" s="33" t="inlineStr"/>
    </row>
    <row r="83" ht="15" customHeight="1">
      <c r="A83" s="34" t="inlineStr">
        <is>
          <t>2026-11-03</t>
        </is>
      </c>
      <c r="B83" s="34" t="inlineStr">
        <is>
          <t>Tue</t>
        </is>
      </c>
      <c r="C83" s="34" t="n">
        <v>12</v>
      </c>
      <c r="D83" s="35" t="inlineStr">
        <is>
          <t>S1 Run</t>
        </is>
      </c>
      <c r="E83" s="36" t="n">
        <v>12</v>
      </c>
      <c r="F83" s="37" t="inlineStr">
        <is>
          <t>TEMPO 3x3km @6:10</t>
        </is>
      </c>
      <c r="G83" s="36" t="n">
        <v>2200</v>
      </c>
      <c r="H83" s="34" t="inlineStr"/>
      <c r="I83" s="36" t="inlineStr"/>
      <c r="J83" s="36" t="inlineStr"/>
      <c r="K83" s="36" t="inlineStr"/>
      <c r="L83" s="36" t="inlineStr"/>
      <c r="M83" s="36" t="inlineStr"/>
      <c r="N83" s="38" t="inlineStr"/>
    </row>
    <row r="84" ht="15" customHeight="1">
      <c r="A84" s="34" t="inlineStr">
        <is>
          <t>2026-11-04</t>
        </is>
      </c>
      <c r="B84" s="34" t="inlineStr">
        <is>
          <t>Wed</t>
        </is>
      </c>
      <c r="C84" s="34" t="n">
        <v>12</v>
      </c>
      <c r="D84" s="39" t="inlineStr">
        <is>
          <t>S2 Legs + Core</t>
        </is>
      </c>
      <c r="E84" s="36" t="inlineStr"/>
      <c r="F84" s="37" t="inlineStr"/>
      <c r="G84" s="36" t="n">
        <v>2200</v>
      </c>
      <c r="H84" s="34" t="inlineStr"/>
      <c r="I84" s="36" t="inlineStr"/>
      <c r="J84" s="36" t="inlineStr"/>
      <c r="K84" s="36" t="inlineStr"/>
      <c r="L84" s="36" t="inlineStr"/>
      <c r="M84" s="36" t="inlineStr"/>
      <c r="N84" s="38" t="inlineStr"/>
    </row>
    <row r="85" ht="15" customHeight="1">
      <c r="A85" s="34" t="inlineStr">
        <is>
          <t>2026-11-05</t>
        </is>
      </c>
      <c r="B85" s="34" t="inlineStr">
        <is>
          <t>Thu</t>
        </is>
      </c>
      <c r="C85" s="34" t="n">
        <v>12</v>
      </c>
      <c r="D85" s="40" t="inlineStr">
        <is>
          <t>S3 Easy run</t>
        </is>
      </c>
      <c r="E85" s="36" t="n">
        <v>10</v>
      </c>
      <c r="F85" s="37" t="inlineStr">
        <is>
          <t>Conversational. HR &lt;=155.</t>
        </is>
      </c>
      <c r="G85" s="36" t="n">
        <v>2200</v>
      </c>
      <c r="H85" s="34" t="inlineStr"/>
      <c r="I85" s="36" t="inlineStr"/>
      <c r="J85" s="36" t="inlineStr"/>
      <c r="K85" s="36" t="inlineStr"/>
      <c r="L85" s="36" t="inlineStr"/>
      <c r="M85" s="36" t="inlineStr"/>
      <c r="N85" s="38" t="inlineStr"/>
    </row>
    <row r="86" ht="15" customHeight="1">
      <c r="A86" s="34" t="inlineStr">
        <is>
          <t>2026-11-06</t>
        </is>
      </c>
      <c r="B86" s="34" t="inlineStr">
        <is>
          <t>Fri</t>
        </is>
      </c>
      <c r="C86" s="34" t="n">
        <v>12</v>
      </c>
      <c r="D86" s="39" t="inlineStr">
        <is>
          <t>S4 Shoulders + Arms</t>
        </is>
      </c>
      <c r="E86" s="36" t="inlineStr"/>
      <c r="F86" s="37" t="inlineStr"/>
      <c r="G86" s="36" t="n">
        <v>2200</v>
      </c>
      <c r="H86" s="34" t="inlineStr"/>
      <c r="I86" s="36" t="inlineStr"/>
      <c r="J86" s="36" t="inlineStr"/>
      <c r="K86" s="36" t="inlineStr"/>
      <c r="L86" s="36" t="inlineStr"/>
      <c r="M86" s="36" t="inlineStr"/>
      <c r="N86" s="38" t="inlineStr"/>
    </row>
    <row r="87" ht="15" customHeight="1">
      <c r="A87" s="34" t="inlineStr">
        <is>
          <t>2026-11-07</t>
        </is>
      </c>
      <c r="B87" s="34" t="inlineStr">
        <is>
          <t>Sat</t>
        </is>
      </c>
      <c r="C87" s="34" t="n">
        <v>12</v>
      </c>
      <c r="D87" s="35" t="inlineStr">
        <is>
          <t>S5 Long run</t>
        </is>
      </c>
      <c r="E87" s="36" t="n">
        <v>17</v>
      </c>
      <c r="F87" s="37" t="inlineStr">
        <is>
          <t>All easy. HR &lt;=158.</t>
        </is>
      </c>
      <c r="G87" s="36" t="n">
        <v>2200</v>
      </c>
      <c r="H87" s="34" t="inlineStr"/>
      <c r="I87" s="36" t="inlineStr"/>
      <c r="J87" s="36" t="inlineStr"/>
      <c r="K87" s="36" t="inlineStr"/>
      <c r="L87" s="36" t="inlineStr"/>
      <c r="M87" s="36" t="inlineStr"/>
      <c r="N87" s="38" t="inlineStr"/>
    </row>
    <row r="88" ht="15" customHeight="1">
      <c r="A88" s="34" t="inlineStr">
        <is>
          <t>2026-11-08</t>
        </is>
      </c>
      <c r="B88" s="34" t="inlineStr">
        <is>
          <t>Sun</t>
        </is>
      </c>
      <c r="C88" s="34" t="n">
        <v>12</v>
      </c>
      <c r="D88" s="39" t="inlineStr">
        <is>
          <t>S6 Chest + Back</t>
        </is>
      </c>
      <c r="E88" s="36" t="inlineStr"/>
      <c r="F88" s="37" t="inlineStr"/>
      <c r="G88" s="36" t="n">
        <v>2200</v>
      </c>
      <c r="H88" s="34" t="inlineStr"/>
      <c r="I88" s="36" t="inlineStr"/>
      <c r="J88" s="36" t="inlineStr"/>
      <c r="K88" s="36" t="inlineStr"/>
      <c r="L88" s="36" t="inlineStr"/>
      <c r="M88" s="36" t="inlineStr"/>
      <c r="N88" s="38" t="inlineStr"/>
    </row>
    <row r="89" ht="15" customHeight="1">
      <c r="A89" s="29" t="inlineStr">
        <is>
          <t>2026-11-09</t>
        </is>
      </c>
      <c r="B89" s="29" t="inlineStr">
        <is>
          <t>Mon</t>
        </is>
      </c>
      <c r="C89" s="29" t="n">
        <v>13</v>
      </c>
      <c r="D89" s="30" t="inlineStr">
        <is>
          <t>Rest (floats)</t>
        </is>
      </c>
      <c r="E89" s="31" t="inlineStr"/>
      <c r="F89" s="32" t="inlineStr"/>
      <c r="G89" s="31" t="n">
        <v>2200</v>
      </c>
      <c r="H89" s="29" t="inlineStr"/>
      <c r="I89" s="31" t="inlineStr"/>
      <c r="J89" s="31" t="inlineStr"/>
      <c r="K89" s="31" t="inlineStr"/>
      <c r="L89" s="31" t="inlineStr"/>
      <c r="M89" s="31" t="inlineStr"/>
      <c r="N89" s="33" t="inlineStr"/>
    </row>
    <row r="90" ht="15" customHeight="1">
      <c r="A90" s="34" t="inlineStr">
        <is>
          <t>2026-11-10</t>
        </is>
      </c>
      <c r="B90" s="34" t="inlineStr">
        <is>
          <t>Tue</t>
        </is>
      </c>
      <c r="C90" s="34" t="n">
        <v>13</v>
      </c>
      <c r="D90" s="35" t="inlineStr">
        <is>
          <t>S1 Run</t>
        </is>
      </c>
      <c r="E90" s="36" t="n">
        <v>13</v>
      </c>
      <c r="F90" s="37" t="inlineStr">
        <is>
          <t>INTERVALS 400m x8 @4:20</t>
        </is>
      </c>
      <c r="G90" s="36" t="n">
        <v>2200</v>
      </c>
      <c r="H90" s="34" t="inlineStr"/>
      <c r="I90" s="36" t="inlineStr"/>
      <c r="J90" s="36" t="inlineStr"/>
      <c r="K90" s="36" t="inlineStr"/>
      <c r="L90" s="36" t="inlineStr"/>
      <c r="M90" s="36" t="inlineStr"/>
      <c r="N90" s="38" t="inlineStr"/>
    </row>
    <row r="91" ht="15" customHeight="1">
      <c r="A91" s="34" t="inlineStr">
        <is>
          <t>2026-11-11</t>
        </is>
      </c>
      <c r="B91" s="34" t="inlineStr">
        <is>
          <t>Wed</t>
        </is>
      </c>
      <c r="C91" s="34" t="n">
        <v>13</v>
      </c>
      <c r="D91" s="39" t="inlineStr">
        <is>
          <t>S2 Legs + Core</t>
        </is>
      </c>
      <c r="E91" s="36" t="inlineStr"/>
      <c r="F91" s="37" t="inlineStr"/>
      <c r="G91" s="36" t="n">
        <v>2200</v>
      </c>
      <c r="H91" s="34" t="inlineStr"/>
      <c r="I91" s="36" t="inlineStr"/>
      <c r="J91" s="36" t="inlineStr"/>
      <c r="K91" s="36" t="inlineStr"/>
      <c r="L91" s="36" t="inlineStr"/>
      <c r="M91" s="36" t="inlineStr"/>
      <c r="N91" s="38" t="inlineStr"/>
    </row>
    <row r="92" ht="15" customHeight="1">
      <c r="A92" s="34" t="inlineStr">
        <is>
          <t>2026-11-12</t>
        </is>
      </c>
      <c r="B92" s="34" t="inlineStr">
        <is>
          <t>Thu</t>
        </is>
      </c>
      <c r="C92" s="34" t="n">
        <v>13</v>
      </c>
      <c r="D92" s="40" t="inlineStr">
        <is>
          <t>S3 Easy run</t>
        </is>
      </c>
      <c r="E92" s="36" t="n">
        <v>10</v>
      </c>
      <c r="F92" s="37" t="inlineStr">
        <is>
          <t>Conversational. HR &lt;=155.</t>
        </is>
      </c>
      <c r="G92" s="36" t="n">
        <v>2200</v>
      </c>
      <c r="H92" s="34" t="inlineStr"/>
      <c r="I92" s="36" t="inlineStr"/>
      <c r="J92" s="36" t="inlineStr"/>
      <c r="K92" s="36" t="inlineStr"/>
      <c r="L92" s="36" t="inlineStr"/>
      <c r="M92" s="36" t="inlineStr"/>
      <c r="N92" s="38" t="inlineStr"/>
    </row>
    <row r="93" ht="15" customHeight="1">
      <c r="A93" s="34" t="inlineStr">
        <is>
          <t>2026-11-13</t>
        </is>
      </c>
      <c r="B93" s="34" t="inlineStr">
        <is>
          <t>Fri</t>
        </is>
      </c>
      <c r="C93" s="34" t="n">
        <v>13</v>
      </c>
      <c r="D93" s="39" t="inlineStr">
        <is>
          <t>S4 Shoulders + Arms</t>
        </is>
      </c>
      <c r="E93" s="36" t="inlineStr"/>
      <c r="F93" s="37" t="inlineStr"/>
      <c r="G93" s="36" t="n">
        <v>2200</v>
      </c>
      <c r="H93" s="34" t="inlineStr"/>
      <c r="I93" s="36" t="inlineStr"/>
      <c r="J93" s="36" t="inlineStr"/>
      <c r="K93" s="36" t="inlineStr"/>
      <c r="L93" s="36" t="inlineStr"/>
      <c r="M93" s="36" t="inlineStr"/>
      <c r="N93" s="38" t="inlineStr"/>
    </row>
    <row r="94" ht="15" customHeight="1">
      <c r="A94" s="34" t="inlineStr">
        <is>
          <t>2026-11-14</t>
        </is>
      </c>
      <c r="B94" s="34" t="inlineStr">
        <is>
          <t>Sat</t>
        </is>
      </c>
      <c r="C94" s="34" t="n">
        <v>13</v>
      </c>
      <c r="D94" s="35" t="inlineStr">
        <is>
          <t>S5 Long run</t>
        </is>
      </c>
      <c r="E94" s="36" t="n">
        <v>19</v>
      </c>
      <c r="F94" s="37" t="inlineStr">
        <is>
          <t>All easy. HR &lt;=158.</t>
        </is>
      </c>
      <c r="G94" s="36" t="n">
        <v>2200</v>
      </c>
      <c r="H94" s="34" t="inlineStr"/>
      <c r="I94" s="36" t="inlineStr"/>
      <c r="J94" s="36" t="inlineStr"/>
      <c r="K94" s="36" t="inlineStr"/>
      <c r="L94" s="36" t="inlineStr"/>
      <c r="M94" s="36" t="inlineStr"/>
      <c r="N94" s="38" t="inlineStr"/>
    </row>
    <row r="95" ht="15" customHeight="1">
      <c r="A95" s="34" t="inlineStr">
        <is>
          <t>2026-11-15</t>
        </is>
      </c>
      <c r="B95" s="34" t="inlineStr">
        <is>
          <t>Sun</t>
        </is>
      </c>
      <c r="C95" s="34" t="n">
        <v>13</v>
      </c>
      <c r="D95" s="39" t="inlineStr">
        <is>
          <t>S6 Chest + Back</t>
        </is>
      </c>
      <c r="E95" s="36" t="inlineStr"/>
      <c r="F95" s="37" t="inlineStr"/>
      <c r="G95" s="36" t="n">
        <v>2200</v>
      </c>
      <c r="H95" s="34" t="inlineStr"/>
      <c r="I95" s="36" t="inlineStr"/>
      <c r="J95" s="36" t="inlineStr"/>
      <c r="K95" s="36" t="inlineStr"/>
      <c r="L95" s="36" t="inlineStr"/>
      <c r="M95" s="36" t="inlineStr"/>
      <c r="N95" s="38" t="inlineStr"/>
    </row>
    <row r="96" ht="15" customHeight="1">
      <c r="A96" s="29" t="inlineStr">
        <is>
          <t>2026-11-16</t>
        </is>
      </c>
      <c r="B96" s="29" t="inlineStr">
        <is>
          <t>Mon</t>
        </is>
      </c>
      <c r="C96" s="29" t="n">
        <v>14</v>
      </c>
      <c r="D96" s="30" t="inlineStr">
        <is>
          <t>Rest (floats)</t>
        </is>
      </c>
      <c r="E96" s="31" t="inlineStr"/>
      <c r="F96" s="32" t="inlineStr"/>
      <c r="G96" s="31" t="n">
        <v>2200</v>
      </c>
      <c r="H96" s="29" t="inlineStr"/>
      <c r="I96" s="31" t="inlineStr"/>
      <c r="J96" s="31" t="inlineStr"/>
      <c r="K96" s="31" t="inlineStr"/>
      <c r="L96" s="31" t="inlineStr"/>
      <c r="M96" s="31" t="inlineStr"/>
      <c r="N96" s="33" t="inlineStr"/>
    </row>
    <row r="97" ht="15" customHeight="1">
      <c r="A97" s="41" t="inlineStr">
        <is>
          <t>2026-11-17</t>
        </is>
      </c>
      <c r="B97" s="41" t="inlineStr">
        <is>
          <t>Tue</t>
        </is>
      </c>
      <c r="C97" s="41" t="n">
        <v>14</v>
      </c>
      <c r="D97" s="42" t="inlineStr">
        <is>
          <t>S1 Run</t>
        </is>
      </c>
      <c r="E97" s="43" t="n">
        <v>10</v>
      </c>
      <c r="F97" s="44" t="inlineStr">
        <is>
          <t>TEMPO 2x2km @6:10</t>
        </is>
      </c>
      <c r="G97" s="43" t="n">
        <v>2200</v>
      </c>
      <c r="H97" s="41" t="inlineStr"/>
      <c r="I97" s="43" t="inlineStr"/>
      <c r="J97" s="43" t="inlineStr"/>
      <c r="K97" s="43" t="inlineStr"/>
      <c r="L97" s="43" t="inlineStr"/>
      <c r="M97" s="43" t="inlineStr"/>
      <c r="N97" s="45" t="inlineStr"/>
    </row>
    <row r="98" ht="15" customHeight="1">
      <c r="A98" s="41" t="inlineStr">
        <is>
          <t>2026-11-18</t>
        </is>
      </c>
      <c r="B98" s="41" t="inlineStr">
        <is>
          <t>Wed</t>
        </is>
      </c>
      <c r="C98" s="41" t="n">
        <v>14</v>
      </c>
      <c r="D98" s="46" t="inlineStr">
        <is>
          <t>S2 Legs + Core</t>
        </is>
      </c>
      <c r="E98" s="43" t="inlineStr"/>
      <c r="F98" s="44" t="inlineStr"/>
      <c r="G98" s="43" t="n">
        <v>2200</v>
      </c>
      <c r="H98" s="41" t="inlineStr"/>
      <c r="I98" s="43" t="inlineStr"/>
      <c r="J98" s="43" t="inlineStr"/>
      <c r="K98" s="43" t="inlineStr"/>
      <c r="L98" s="43" t="inlineStr"/>
      <c r="M98" s="43" t="inlineStr"/>
      <c r="N98" s="45" t="inlineStr"/>
    </row>
    <row r="99" ht="15" customHeight="1">
      <c r="A99" s="41" t="inlineStr">
        <is>
          <t>2026-11-19</t>
        </is>
      </c>
      <c r="B99" s="41" t="inlineStr">
        <is>
          <t>Thu</t>
        </is>
      </c>
      <c r="C99" s="41" t="n">
        <v>14</v>
      </c>
      <c r="D99" s="47" t="inlineStr">
        <is>
          <t>S3 Easy run</t>
        </is>
      </c>
      <c r="E99" s="43" t="n">
        <v>9</v>
      </c>
      <c r="F99" s="44" t="inlineStr">
        <is>
          <t>Conversational. HR &lt;=155.</t>
        </is>
      </c>
      <c r="G99" s="43" t="n">
        <v>2200</v>
      </c>
      <c r="H99" s="41" t="inlineStr"/>
      <c r="I99" s="43" t="inlineStr"/>
      <c r="J99" s="43" t="inlineStr"/>
      <c r="K99" s="43" t="inlineStr"/>
      <c r="L99" s="43" t="inlineStr"/>
      <c r="M99" s="43" t="inlineStr"/>
      <c r="N99" s="45" t="inlineStr"/>
    </row>
    <row r="100" ht="15" customHeight="1">
      <c r="A100" s="41" t="inlineStr">
        <is>
          <t>2026-11-20</t>
        </is>
      </c>
      <c r="B100" s="41" t="inlineStr">
        <is>
          <t>Fri</t>
        </is>
      </c>
      <c r="C100" s="41" t="n">
        <v>14</v>
      </c>
      <c r="D100" s="46" t="inlineStr">
        <is>
          <t>S4 Shoulders + Arms</t>
        </is>
      </c>
      <c r="E100" s="43" t="inlineStr"/>
      <c r="F100" s="44" t="inlineStr"/>
      <c r="G100" s="43" t="n">
        <v>2200</v>
      </c>
      <c r="H100" s="41" t="inlineStr"/>
      <c r="I100" s="43" t="inlineStr"/>
      <c r="J100" s="43" t="inlineStr"/>
      <c r="K100" s="43" t="inlineStr"/>
      <c r="L100" s="43" t="inlineStr"/>
      <c r="M100" s="43" t="inlineStr"/>
      <c r="N100" s="45" t="inlineStr"/>
    </row>
    <row r="101" ht="15" customHeight="1">
      <c r="A101" s="41" t="inlineStr">
        <is>
          <t>2026-11-21</t>
        </is>
      </c>
      <c r="B101" s="41" t="inlineStr">
        <is>
          <t>Sat</t>
        </is>
      </c>
      <c r="C101" s="41" t="n">
        <v>14</v>
      </c>
      <c r="D101" s="42" t="inlineStr">
        <is>
          <t>S5 Long run</t>
        </is>
      </c>
      <c r="E101" s="43" t="n">
        <v>12</v>
      </c>
      <c r="F101" s="44" t="inlineStr">
        <is>
          <t>All easy. HR &lt;=158.</t>
        </is>
      </c>
      <c r="G101" s="43" t="n">
        <v>2200</v>
      </c>
      <c r="H101" s="41" t="inlineStr"/>
      <c r="I101" s="43" t="inlineStr"/>
      <c r="J101" s="43" t="inlineStr"/>
      <c r="K101" s="43" t="inlineStr"/>
      <c r="L101" s="43" t="inlineStr"/>
      <c r="M101" s="43" t="inlineStr"/>
      <c r="N101" s="45" t="inlineStr"/>
    </row>
    <row r="102" ht="15" customHeight="1">
      <c r="A102" s="41" t="inlineStr">
        <is>
          <t>2026-11-22</t>
        </is>
      </c>
      <c r="B102" s="41" t="inlineStr">
        <is>
          <t>Sun</t>
        </is>
      </c>
      <c r="C102" s="41" t="n">
        <v>14</v>
      </c>
      <c r="D102" s="46" t="inlineStr">
        <is>
          <t>S6 Chest + Back</t>
        </is>
      </c>
      <c r="E102" s="43" t="inlineStr"/>
      <c r="F102" s="44" t="inlineStr"/>
      <c r="G102" s="43" t="n">
        <v>2200</v>
      </c>
      <c r="H102" s="41" t="inlineStr"/>
      <c r="I102" s="43" t="inlineStr"/>
      <c r="J102" s="43" t="inlineStr"/>
      <c r="K102" s="43" t="inlineStr"/>
      <c r="L102" s="43" t="inlineStr"/>
      <c r="M102" s="43" t="inlineStr"/>
      <c r="N102" s="45" t="inlineStr"/>
    </row>
    <row r="103" ht="15" customHeight="1">
      <c r="A103" s="29" t="inlineStr">
        <is>
          <t>2026-11-23</t>
        </is>
      </c>
      <c r="B103" s="29" t="inlineStr">
        <is>
          <t>Mon</t>
        </is>
      </c>
      <c r="C103" s="29" t="n">
        <v>15</v>
      </c>
      <c r="D103" s="30" t="inlineStr">
        <is>
          <t>Rest (floats)</t>
        </is>
      </c>
      <c r="E103" s="31" t="inlineStr"/>
      <c r="F103" s="32" t="inlineStr"/>
      <c r="G103" s="31" t="n">
        <v>2200</v>
      </c>
      <c r="H103" s="29" t="inlineStr"/>
      <c r="I103" s="31" t="inlineStr"/>
      <c r="J103" s="31" t="inlineStr"/>
      <c r="K103" s="31" t="inlineStr"/>
      <c r="L103" s="31" t="inlineStr"/>
      <c r="M103" s="31" t="inlineStr"/>
      <c r="N103" s="33" t="inlineStr"/>
    </row>
    <row r="104" ht="15" customHeight="1">
      <c r="A104" s="34" t="inlineStr">
        <is>
          <t>2026-11-24</t>
        </is>
      </c>
      <c r="B104" s="34" t="inlineStr">
        <is>
          <t>Tue</t>
        </is>
      </c>
      <c r="C104" s="34" t="n">
        <v>15</v>
      </c>
      <c r="D104" s="35" t="inlineStr">
        <is>
          <t>S1 Run</t>
        </is>
      </c>
      <c r="E104" s="36" t="n">
        <v>12</v>
      </c>
      <c r="F104" s="37" t="inlineStr">
        <is>
          <t>Easy + 6x20s strides</t>
        </is>
      </c>
      <c r="G104" s="36" t="n">
        <v>2200</v>
      </c>
      <c r="H104" s="34" t="inlineStr"/>
      <c r="I104" s="36" t="inlineStr"/>
      <c r="J104" s="36" t="inlineStr"/>
      <c r="K104" s="36" t="inlineStr"/>
      <c r="L104" s="36" t="inlineStr"/>
      <c r="M104" s="36" t="inlineStr"/>
      <c r="N104" s="38" t="inlineStr"/>
    </row>
    <row r="105" ht="15" customHeight="1">
      <c r="A105" s="34" t="inlineStr">
        <is>
          <t>2026-11-25</t>
        </is>
      </c>
      <c r="B105" s="34" t="inlineStr">
        <is>
          <t>Wed</t>
        </is>
      </c>
      <c r="C105" s="34" t="n">
        <v>15</v>
      </c>
      <c r="D105" s="39" t="inlineStr">
        <is>
          <t>S2 Legs + Core</t>
        </is>
      </c>
      <c r="E105" s="36" t="inlineStr"/>
      <c r="F105" s="37" t="inlineStr"/>
      <c r="G105" s="36" t="n">
        <v>2200</v>
      </c>
      <c r="H105" s="34" t="inlineStr"/>
      <c r="I105" s="36" t="inlineStr"/>
      <c r="J105" s="36" t="inlineStr"/>
      <c r="K105" s="36" t="inlineStr"/>
      <c r="L105" s="36" t="inlineStr"/>
      <c r="M105" s="36" t="inlineStr"/>
      <c r="N105" s="38" t="inlineStr"/>
    </row>
    <row r="106" ht="15" customHeight="1">
      <c r="A106" s="34" t="inlineStr">
        <is>
          <t>2026-11-26</t>
        </is>
      </c>
      <c r="B106" s="34" t="inlineStr">
        <is>
          <t>Thu</t>
        </is>
      </c>
      <c r="C106" s="34" t="n">
        <v>15</v>
      </c>
      <c r="D106" s="40" t="inlineStr">
        <is>
          <t>S3 Easy run</t>
        </is>
      </c>
      <c r="E106" s="36" t="n">
        <v>9</v>
      </c>
      <c r="F106" s="37" t="inlineStr">
        <is>
          <t>Conversational. HR &lt;=155.</t>
        </is>
      </c>
      <c r="G106" s="36" t="n">
        <v>2200</v>
      </c>
      <c r="H106" s="34" t="inlineStr"/>
      <c r="I106" s="36" t="inlineStr"/>
      <c r="J106" s="36" t="inlineStr"/>
      <c r="K106" s="36" t="inlineStr"/>
      <c r="L106" s="36" t="inlineStr"/>
      <c r="M106" s="36" t="inlineStr"/>
      <c r="N106" s="38" t="inlineStr"/>
    </row>
    <row r="107" ht="15" customHeight="1">
      <c r="A107" s="34" t="inlineStr">
        <is>
          <t>2026-11-27</t>
        </is>
      </c>
      <c r="B107" s="34" t="inlineStr">
        <is>
          <t>Fri</t>
        </is>
      </c>
      <c r="C107" s="34" t="n">
        <v>15</v>
      </c>
      <c r="D107" s="39" t="inlineStr">
        <is>
          <t>S4 Shoulders + Arms</t>
        </is>
      </c>
      <c r="E107" s="36" t="inlineStr"/>
      <c r="F107" s="37" t="inlineStr"/>
      <c r="G107" s="36" t="n">
        <v>2200</v>
      </c>
      <c r="H107" s="34" t="inlineStr"/>
      <c r="I107" s="36" t="inlineStr"/>
      <c r="J107" s="36" t="inlineStr"/>
      <c r="K107" s="36" t="inlineStr"/>
      <c r="L107" s="36" t="inlineStr"/>
      <c r="M107" s="36" t="inlineStr"/>
      <c r="N107" s="38" t="inlineStr"/>
    </row>
    <row r="108" ht="15" customHeight="1">
      <c r="A108" s="34" t="inlineStr">
        <is>
          <t>2026-11-28</t>
        </is>
      </c>
      <c r="B108" s="34" t="inlineStr">
        <is>
          <t>Sat</t>
        </is>
      </c>
      <c r="C108" s="34" t="n">
        <v>15</v>
      </c>
      <c r="D108" s="35" t="inlineStr">
        <is>
          <t>S5 Long run</t>
        </is>
      </c>
      <c r="E108" s="36" t="n">
        <v>18</v>
      </c>
      <c r="F108" s="37" t="inlineStr">
        <is>
          <t>All easy. HR &lt;=158.</t>
        </is>
      </c>
      <c r="G108" s="36" t="n">
        <v>2200</v>
      </c>
      <c r="H108" s="34" t="inlineStr"/>
      <c r="I108" s="36" t="inlineStr"/>
      <c r="J108" s="36" t="inlineStr"/>
      <c r="K108" s="36" t="inlineStr"/>
      <c r="L108" s="36" t="inlineStr"/>
      <c r="M108" s="36" t="inlineStr"/>
      <c r="N108" s="38" t="inlineStr"/>
    </row>
    <row r="109" ht="15" customHeight="1">
      <c r="A109" s="34" t="inlineStr">
        <is>
          <t>2026-11-29</t>
        </is>
      </c>
      <c r="B109" s="34" t="inlineStr">
        <is>
          <t>Sun</t>
        </is>
      </c>
      <c r="C109" s="34" t="n">
        <v>15</v>
      </c>
      <c r="D109" s="39" t="inlineStr">
        <is>
          <t>S6 Chest + Back</t>
        </is>
      </c>
      <c r="E109" s="36" t="inlineStr"/>
      <c r="F109" s="37" t="inlineStr"/>
      <c r="G109" s="36" t="n">
        <v>2200</v>
      </c>
      <c r="H109" s="34" t="inlineStr"/>
      <c r="I109" s="36" t="inlineStr"/>
      <c r="J109" s="36" t="inlineStr"/>
      <c r="K109" s="36" t="inlineStr"/>
      <c r="L109" s="36" t="inlineStr"/>
      <c r="M109" s="36" t="inlineStr"/>
      <c r="N109" s="38" t="inlineStr"/>
    </row>
    <row r="110" ht="15" customHeight="1">
      <c r="A110" s="29" t="inlineStr">
        <is>
          <t>2026-11-30</t>
        </is>
      </c>
      <c r="B110" s="29" t="inlineStr">
        <is>
          <t>Mon</t>
        </is>
      </c>
      <c r="C110" s="29" t="n">
        <v>16</v>
      </c>
      <c r="D110" s="30" t="inlineStr">
        <is>
          <t>Rest (floats)</t>
        </is>
      </c>
      <c r="E110" s="31" t="inlineStr"/>
      <c r="F110" s="32" t="inlineStr"/>
      <c r="G110" s="31" t="n">
        <v>2200</v>
      </c>
      <c r="H110" s="29" t="inlineStr"/>
      <c r="I110" s="31" t="inlineStr"/>
      <c r="J110" s="31" t="inlineStr"/>
      <c r="K110" s="31" t="inlineStr"/>
      <c r="L110" s="31" t="inlineStr"/>
      <c r="M110" s="31" t="inlineStr"/>
      <c r="N110" s="33" t="inlineStr"/>
    </row>
    <row r="111" ht="15" customHeight="1">
      <c r="A111" s="34" t="inlineStr">
        <is>
          <t>2026-12-01</t>
        </is>
      </c>
      <c r="B111" s="34" t="inlineStr">
        <is>
          <t>Tue</t>
        </is>
      </c>
      <c r="C111" s="34" t="n">
        <v>16</v>
      </c>
      <c r="D111" s="35" t="inlineStr">
        <is>
          <t>S1 Run</t>
        </is>
      </c>
      <c r="E111" s="36" t="n">
        <v>11</v>
      </c>
      <c r="F111" s="37" t="inlineStr">
        <is>
          <t>TEMPO 6x800m @6:10</t>
        </is>
      </c>
      <c r="G111" s="36" t="n">
        <v>2200</v>
      </c>
      <c r="H111" s="34" t="inlineStr"/>
      <c r="I111" s="36" t="inlineStr"/>
      <c r="J111" s="36" t="inlineStr"/>
      <c r="K111" s="36" t="inlineStr"/>
      <c r="L111" s="36" t="inlineStr"/>
      <c r="M111" s="36" t="inlineStr"/>
      <c r="N111" s="38" t="inlineStr"/>
    </row>
    <row r="112" ht="15" customHeight="1">
      <c r="A112" s="34" t="inlineStr">
        <is>
          <t>2026-12-02</t>
        </is>
      </c>
      <c r="B112" s="34" t="inlineStr">
        <is>
          <t>Wed</t>
        </is>
      </c>
      <c r="C112" s="34" t="n">
        <v>16</v>
      </c>
      <c r="D112" s="39" t="inlineStr">
        <is>
          <t>S2 Legs + Core</t>
        </is>
      </c>
      <c r="E112" s="36" t="inlineStr"/>
      <c r="F112" s="37" t="inlineStr"/>
      <c r="G112" s="36" t="n">
        <v>2200</v>
      </c>
      <c r="H112" s="34" t="inlineStr"/>
      <c r="I112" s="36" t="inlineStr"/>
      <c r="J112" s="36" t="inlineStr"/>
      <c r="K112" s="36" t="inlineStr"/>
      <c r="L112" s="36" t="inlineStr"/>
      <c r="M112" s="36" t="inlineStr"/>
      <c r="N112" s="38" t="inlineStr"/>
    </row>
    <row r="113" ht="15" customHeight="1">
      <c r="A113" s="34" t="inlineStr">
        <is>
          <t>2026-12-03</t>
        </is>
      </c>
      <c r="B113" s="34" t="inlineStr">
        <is>
          <t>Thu</t>
        </is>
      </c>
      <c r="C113" s="34" t="n">
        <v>16</v>
      </c>
      <c r="D113" s="40" t="inlineStr">
        <is>
          <t>S3 Easy run</t>
        </is>
      </c>
      <c r="E113" s="36" t="n">
        <v>7</v>
      </c>
      <c r="F113" s="37" t="inlineStr">
        <is>
          <t>Conversational. HR &lt;=155.</t>
        </is>
      </c>
      <c r="G113" s="36" t="n">
        <v>2200</v>
      </c>
      <c r="H113" s="34" t="inlineStr"/>
      <c r="I113" s="36" t="inlineStr"/>
      <c r="J113" s="36" t="inlineStr"/>
      <c r="K113" s="36" t="inlineStr"/>
      <c r="L113" s="36" t="inlineStr"/>
      <c r="M113" s="36" t="inlineStr"/>
      <c r="N113" s="38" t="inlineStr"/>
    </row>
    <row r="114" ht="15" customHeight="1">
      <c r="A114" s="34" t="inlineStr">
        <is>
          <t>2026-12-04</t>
        </is>
      </c>
      <c r="B114" s="34" t="inlineStr">
        <is>
          <t>Fri</t>
        </is>
      </c>
      <c r="C114" s="34" t="n">
        <v>16</v>
      </c>
      <c r="D114" s="39" t="inlineStr">
        <is>
          <t>S4 Shoulders + Arms</t>
        </is>
      </c>
      <c r="E114" s="36" t="inlineStr"/>
      <c r="F114" s="37" t="inlineStr"/>
      <c r="G114" s="36" t="n">
        <v>2200</v>
      </c>
      <c r="H114" s="34" t="inlineStr"/>
      <c r="I114" s="36" t="inlineStr"/>
      <c r="J114" s="36" t="inlineStr"/>
      <c r="K114" s="36" t="inlineStr"/>
      <c r="L114" s="36" t="inlineStr"/>
      <c r="M114" s="36" t="inlineStr"/>
      <c r="N114" s="38" t="inlineStr"/>
    </row>
    <row r="115" ht="15" customHeight="1">
      <c r="A115" s="34" t="inlineStr">
        <is>
          <t>2026-12-05</t>
        </is>
      </c>
      <c r="B115" s="34" t="inlineStr">
        <is>
          <t>Sat</t>
        </is>
      </c>
      <c r="C115" s="34" t="n">
        <v>16</v>
      </c>
      <c r="D115" s="35" t="inlineStr">
        <is>
          <t>S5 Long run</t>
        </is>
      </c>
      <c r="E115" s="36" t="n">
        <v>10</v>
      </c>
      <c r="F115" s="37" t="inlineStr">
        <is>
          <t>All easy. HR &lt;=158.</t>
        </is>
      </c>
      <c r="G115" s="36" t="n">
        <v>2200</v>
      </c>
      <c r="H115" s="34" t="inlineStr"/>
      <c r="I115" s="36" t="inlineStr"/>
      <c r="J115" s="36" t="inlineStr"/>
      <c r="K115" s="36" t="inlineStr"/>
      <c r="L115" s="36" t="inlineStr"/>
      <c r="M115" s="36" t="inlineStr"/>
      <c r="N115" s="38" t="inlineStr"/>
    </row>
    <row r="116" ht="15" customHeight="1">
      <c r="A116" s="34" t="inlineStr">
        <is>
          <t>2026-12-06</t>
        </is>
      </c>
      <c r="B116" s="34" t="inlineStr">
        <is>
          <t>Sun</t>
        </is>
      </c>
      <c r="C116" s="34" t="n">
        <v>16</v>
      </c>
      <c r="D116" s="39" t="inlineStr">
        <is>
          <t>S6 Chest + Back</t>
        </is>
      </c>
      <c r="E116" s="36" t="inlineStr"/>
      <c r="F116" s="37" t="inlineStr"/>
      <c r="G116" s="36" t="n">
        <v>2200</v>
      </c>
      <c r="H116" s="34" t="inlineStr"/>
      <c r="I116" s="36" t="inlineStr"/>
      <c r="J116" s="36" t="inlineStr"/>
      <c r="K116" s="36" t="inlineStr"/>
      <c r="L116" s="36" t="inlineStr"/>
      <c r="M116" s="36" t="inlineStr"/>
      <c r="N116" s="38" t="inlineStr"/>
    </row>
    <row r="117" ht="15" customHeight="1">
      <c r="A117" s="29" t="inlineStr">
        <is>
          <t>2026-12-07</t>
        </is>
      </c>
      <c r="B117" s="29" t="inlineStr">
        <is>
          <t>Mon</t>
        </is>
      </c>
      <c r="C117" s="29" t="n">
        <v>17</v>
      </c>
      <c r="D117" s="30" t="inlineStr">
        <is>
          <t>Rest (floats)</t>
        </is>
      </c>
      <c r="E117" s="31" t="inlineStr"/>
      <c r="F117" s="32" t="inlineStr"/>
      <c r="G117" s="31" t="n">
        <v>2400</v>
      </c>
      <c r="H117" s="29" t="inlineStr"/>
      <c r="I117" s="31" t="inlineStr"/>
      <c r="J117" s="31" t="inlineStr"/>
      <c r="K117" s="31" t="inlineStr"/>
      <c r="L117" s="31" t="inlineStr"/>
      <c r="M117" s="31" t="inlineStr"/>
      <c r="N117" s="33" t="inlineStr"/>
    </row>
    <row r="118" ht="15" customHeight="1">
      <c r="A118" s="34" t="inlineStr">
        <is>
          <t>2026-12-08</t>
        </is>
      </c>
      <c r="B118" s="34" t="inlineStr">
        <is>
          <t>Tue</t>
        </is>
      </c>
      <c r="C118" s="34" t="n">
        <v>17</v>
      </c>
      <c r="D118" s="35" t="inlineStr">
        <is>
          <t>S1 Run</t>
        </is>
      </c>
      <c r="E118" s="36" t="n">
        <v>5</v>
      </c>
      <c r="F118" s="37" t="inlineStr">
        <is>
          <t>Easy, relaxed</t>
        </is>
      </c>
      <c r="G118" s="36" t="n">
        <v>2400</v>
      </c>
      <c r="H118" s="34" t="inlineStr"/>
      <c r="I118" s="36" t="inlineStr"/>
      <c r="J118" s="36" t="inlineStr"/>
      <c r="K118" s="36" t="inlineStr"/>
      <c r="L118" s="36" t="inlineStr"/>
      <c r="M118" s="36" t="inlineStr"/>
      <c r="N118" s="38" t="inlineStr"/>
    </row>
    <row r="119" ht="15" customHeight="1">
      <c r="A119" s="29" t="inlineStr">
        <is>
          <t>2026-12-09</t>
        </is>
      </c>
      <c r="B119" s="29" t="inlineStr">
        <is>
          <t>Wed</t>
        </is>
      </c>
      <c r="C119" s="29" t="n">
        <v>17</v>
      </c>
      <c r="D119" s="48" t="inlineStr">
        <is>
          <t>Rest — race week</t>
        </is>
      </c>
      <c r="E119" s="31" t="inlineStr"/>
      <c r="F119" s="32" t="inlineStr">
        <is>
          <t>No lifting. Nothing now makes you fitter.</t>
        </is>
      </c>
      <c r="G119" s="31" t="n">
        <v>2400</v>
      </c>
      <c r="H119" s="29" t="inlineStr"/>
      <c r="I119" s="31" t="inlineStr"/>
      <c r="J119" s="31" t="inlineStr"/>
      <c r="K119" s="31" t="inlineStr"/>
      <c r="L119" s="31" t="inlineStr"/>
      <c r="M119" s="31" t="inlineStr"/>
      <c r="N119" s="33" t="inlineStr"/>
    </row>
    <row r="120" ht="15" customHeight="1">
      <c r="A120" s="34" t="inlineStr">
        <is>
          <t>2026-12-10</t>
        </is>
      </c>
      <c r="B120" s="34" t="inlineStr">
        <is>
          <t>Thu</t>
        </is>
      </c>
      <c r="C120" s="34" t="n">
        <v>17</v>
      </c>
      <c r="D120" s="40" t="inlineStr">
        <is>
          <t>S3 Easy run</t>
        </is>
      </c>
      <c r="E120" s="36" t="n">
        <v>4</v>
      </c>
      <c r="F120" s="37" t="inlineStr">
        <is>
          <t>Conversational. HR &lt;=155.</t>
        </is>
      </c>
      <c r="G120" s="36" t="n">
        <v>2400</v>
      </c>
      <c r="H120" s="34" t="inlineStr"/>
      <c r="I120" s="36" t="inlineStr"/>
      <c r="J120" s="36" t="inlineStr"/>
      <c r="K120" s="36" t="inlineStr"/>
      <c r="L120" s="36" t="inlineStr"/>
      <c r="M120" s="36" t="inlineStr"/>
      <c r="N120" s="38" t="inlineStr"/>
    </row>
    <row r="121" ht="15" customHeight="1">
      <c r="A121" s="29" t="inlineStr">
        <is>
          <t>2026-12-11</t>
        </is>
      </c>
      <c r="B121" s="29" t="inlineStr">
        <is>
          <t>Fri</t>
        </is>
      </c>
      <c r="C121" s="29" t="n">
        <v>17</v>
      </c>
      <c r="D121" s="48" t="inlineStr">
        <is>
          <t>Rest — race week</t>
        </is>
      </c>
      <c r="E121" s="31" t="inlineStr"/>
      <c r="F121" s="32" t="inlineStr">
        <is>
          <t>No lifting. Nothing now makes you fitter.</t>
        </is>
      </c>
      <c r="G121" s="31" t="n">
        <v>2400</v>
      </c>
      <c r="H121" s="29" t="inlineStr"/>
      <c r="I121" s="31" t="inlineStr"/>
      <c r="J121" s="31" t="inlineStr"/>
      <c r="K121" s="31" t="inlineStr"/>
      <c r="L121" s="31" t="inlineStr"/>
      <c r="M121" s="31" t="inlineStr"/>
      <c r="N121" s="33" t="inlineStr"/>
    </row>
    <row r="122" ht="15" customHeight="1">
      <c r="A122" s="34" t="inlineStr">
        <is>
          <t>2026-12-12</t>
        </is>
      </c>
      <c r="B122" s="34" t="inlineStr">
        <is>
          <t>Sat</t>
        </is>
      </c>
      <c r="C122" s="34" t="n">
        <v>17</v>
      </c>
      <c r="D122" s="35" t="inlineStr">
        <is>
          <t>S5 Long run</t>
        </is>
      </c>
      <c r="E122" s="36" t="n">
        <v>3</v>
      </c>
      <c r="F122" s="37" t="inlineStr">
        <is>
          <t>Shakeout.</t>
        </is>
      </c>
      <c r="G122" s="36" t="n">
        <v>2400</v>
      </c>
      <c r="H122" s="34" t="inlineStr"/>
      <c r="I122" s="36" t="inlineStr"/>
      <c r="J122" s="36" t="inlineStr"/>
      <c r="K122" s="36" t="inlineStr"/>
      <c r="L122" s="36" t="inlineStr"/>
      <c r="M122" s="36" t="inlineStr"/>
      <c r="N122" s="38" t="inlineStr"/>
    </row>
    <row r="123" ht="15" customHeight="1">
      <c r="A123" s="49" t="inlineStr">
        <is>
          <t>2026-12-13</t>
        </is>
      </c>
      <c r="B123" s="49" t="inlineStr">
        <is>
          <t>Sun</t>
        </is>
      </c>
      <c r="C123" s="49" t="n">
        <v>17</v>
      </c>
      <c r="D123" s="50" t="inlineStr">
        <is>
          <t>RACE 21.1 km</t>
        </is>
      </c>
      <c r="E123" s="51" t="n">
        <v>21.1</v>
      </c>
      <c r="F123" s="52" t="inlineStr">
        <is>
          <t>First 3 km at 6:20/km. No exceptions.</t>
        </is>
      </c>
      <c r="G123" s="51" t="n">
        <v>2400</v>
      </c>
      <c r="H123" s="49" t="inlineStr"/>
      <c r="I123" s="51" t="inlineStr"/>
      <c r="J123" s="51" t="inlineStr"/>
      <c r="K123" s="51" t="inlineStr"/>
      <c r="L123" s="51" t="inlineStr"/>
      <c r="M123" s="51" t="inlineStr"/>
      <c r="N123" s="53" t="inlineStr"/>
    </row>
  </sheetData>
  <autoFilter ref="A4:N123"/>
  <mergeCells count="2">
    <mergeCell ref="A2:F2"/>
    <mergeCell ref="A1:F1"/>
  </mergeCells>
  <conditionalFormatting sqref="H5:H123">
    <cfRule type="cellIs" priority="1" operator="equal" dxfId="0">
      <formula>"y"</formula>
    </cfRule>
  </conditionalFormatting>
  <conditionalFormatting sqref="J5:J123">
    <cfRule type="cellIs" priority="2" operator="lessThan" dxfId="1">
      <formula>6.5</formula>
    </cfRule>
  </conditionalFormatting>
  <conditionalFormatting sqref="K5:K123">
    <cfRule type="cellIs" priority="3" operator="lessThan" dxfId="1">
      <formula>3</formula>
    </cfRule>
  </conditionalFormatting>
  <conditionalFormatting sqref="M5:M123">
    <cfRule type="cellIs" priority="4" operator="greaterThan" dxfId="1">
      <formula>158</formula>
    </cfRule>
  </conditionalFormatting>
  <conditionalFormatting sqref="I5:I123">
    <cfRule type="colorScale" priority="5">
      <colorScale>
        <cfvo type="min"/>
        <cfvo type="max"/>
        <color rgb="FF2E7D6E"/>
        <color rgb="FFC2542B"/>
      </colorScale>
    </cfRule>
  </conditionalFormatting>
  <dataValidations count="1">
    <dataValidation sqref="H5:H123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20" customWidth="1" min="2" max="2"/>
    <col width="16" customWidth="1" min="3" max="3"/>
    <col width="15" customWidth="1" min="4" max="4"/>
    <col width="15" customWidth="1" min="5" max="5"/>
    <col width="15" customWidth="1" min="6" max="6"/>
    <col width="30" customWidth="1" min="7" max="7"/>
  </cols>
  <sheetData>
    <row r="1" ht="30" customHeight="1">
      <c r="A1" s="56" t="inlineStr">
        <is>
          <t>THE THREE LIFTING SESSIONS</t>
        </is>
      </c>
    </row>
    <row r="2">
      <c r="A2" s="2" t="inlineStr">
        <is>
          <t>Progression rule: hit the top of the rep range on every set → add 2.5 kg, drop to the bottom. Log RPE 7–9.</t>
        </is>
      </c>
    </row>
    <row r="4" ht="26" customHeight="1">
      <c r="A4" s="57" t="inlineStr">
        <is>
          <t>Exercise</t>
        </is>
      </c>
      <c r="B4" s="57" t="inlineStr">
        <is>
          <t>Sets × reps</t>
        </is>
      </c>
      <c r="C4" s="57" t="inlineStr">
        <is>
          <t>Wk 1–4</t>
        </is>
      </c>
      <c r="D4" s="57" t="inlineStr">
        <is>
          <t>Wk 5–8</t>
        </is>
      </c>
      <c r="E4" s="57" t="inlineStr">
        <is>
          <t>Wk 9–12</t>
        </is>
      </c>
      <c r="F4" s="57" t="inlineStr">
        <is>
          <t>Wk 13–16</t>
        </is>
      </c>
      <c r="G4" s="57" t="inlineStr">
        <is>
          <t>Note</t>
        </is>
      </c>
    </row>
    <row r="5">
      <c r="A5" s="58" t="inlineStr">
        <is>
          <t>S2 · LEGS + CORE  —  ~60 min</t>
        </is>
      </c>
    </row>
    <row r="6" ht="16" customHeight="1">
      <c r="A6" s="59" t="inlineStr">
        <is>
          <t>Barbell Back Squat</t>
        </is>
      </c>
      <c r="B6" s="60" t="inlineStr">
        <is>
          <t>3 × 6–8</t>
        </is>
      </c>
      <c r="C6" s="60" t="inlineStr">
        <is>
          <t>60 × 8,8,8</t>
        </is>
      </c>
      <c r="D6" s="60" t="inlineStr">
        <is>
          <t>65 × 8,8,7</t>
        </is>
      </c>
      <c r="E6" s="60" t="inlineStr">
        <is>
          <t>70 × 7,7,6</t>
        </is>
      </c>
      <c r="F6" s="60" t="inlineStr">
        <is>
          <t>75 × 6,6,6</t>
        </is>
      </c>
      <c r="G6" s="61" t="inlineStr">
        <is>
          <t>w-up: bar×10, 40×8, 50×5</t>
        </is>
      </c>
    </row>
    <row r="7" ht="16" customHeight="1">
      <c r="A7" s="62" t="inlineStr">
        <is>
          <t>Dumbbell RDL</t>
        </is>
      </c>
      <c r="B7" s="63" t="inlineStr">
        <is>
          <t>3 × 10–12</t>
        </is>
      </c>
      <c r="C7" s="63" t="inlineStr">
        <is>
          <t>2×16</t>
        </is>
      </c>
      <c r="D7" s="63" t="inlineStr">
        <is>
          <t>2×20</t>
        </is>
      </c>
      <c r="E7" s="63" t="inlineStr">
        <is>
          <t>2×22</t>
        </is>
      </c>
      <c r="F7" s="63" t="inlineStr">
        <is>
          <t>2×24</t>
        </is>
      </c>
      <c r="G7" s="38" t="inlineStr">
        <is>
          <t>moderate — never grindy</t>
        </is>
      </c>
    </row>
    <row r="8" ht="16" customHeight="1">
      <c r="A8" s="59" t="inlineStr">
        <is>
          <t>Bulgarian Split Squat</t>
        </is>
      </c>
      <c r="B8" s="60" t="inlineStr">
        <is>
          <t>3 × 8–10/leg</t>
        </is>
      </c>
      <c r="C8" s="60" t="inlineStr">
        <is>
          <t>BW</t>
        </is>
      </c>
      <c r="D8" s="60" t="inlineStr">
        <is>
          <t>2×8</t>
        </is>
      </c>
      <c r="E8" s="60" t="inlineStr">
        <is>
          <t>2×10</t>
        </is>
      </c>
      <c r="F8" s="60" t="inlineStr">
        <is>
          <t>2×12</t>
        </is>
      </c>
      <c r="G8" s="61" t="inlineStr">
        <is>
          <t>rear foot on bench</t>
        </is>
      </c>
    </row>
    <row r="9" ht="16" customHeight="1">
      <c r="A9" s="62" t="inlineStr">
        <is>
          <t>Seated Leg Curl ⊃ Standing Calf</t>
        </is>
      </c>
      <c r="B9" s="63" t="inlineStr">
        <is>
          <t>3 × 10–12 / 3 × 10</t>
        </is>
      </c>
      <c r="C9" s="63" t="inlineStr">
        <is>
          <t>36 / 40</t>
        </is>
      </c>
      <c r="D9" s="63" t="inlineStr">
        <is>
          <t>39 / 45</t>
        </is>
      </c>
      <c r="E9" s="63" t="inlineStr">
        <is>
          <t>41 / 50</t>
        </is>
      </c>
      <c r="F9" s="63" t="inlineStr">
        <is>
          <t>43 / 55</t>
        </is>
      </c>
      <c r="G9" s="38" t="inlineStr">
        <is>
          <t>superset — no rest between</t>
        </is>
      </c>
    </row>
    <row r="10" ht="16" customHeight="1">
      <c r="A10" s="59" t="inlineStr">
        <is>
          <t>45° Back Ext ⊃ Seated Calf</t>
        </is>
      </c>
      <c r="B10" s="60" t="inlineStr">
        <is>
          <t>2 × 15 / 2 × 15</t>
        </is>
      </c>
      <c r="C10" s="60" t="inlineStr">
        <is>
          <t>BW / 45</t>
        </is>
      </c>
      <c r="D10" s="60" t="inlineStr">
        <is>
          <t>BW / 50</t>
        </is>
      </c>
      <c r="E10" s="60" t="inlineStr">
        <is>
          <t>+5 / 52</t>
        </is>
      </c>
      <c r="F10" s="60" t="inlineStr">
        <is>
          <t>+5 / 55</t>
        </is>
      </c>
      <c r="G10" s="61" t="inlineStr">
        <is>
          <t>your hyperextension</t>
        </is>
      </c>
    </row>
    <row r="11" ht="16" customHeight="1">
      <c r="A11" s="62" t="inlineStr">
        <is>
          <t>Cable Crunch</t>
        </is>
      </c>
      <c r="B11" s="63" t="inlineStr">
        <is>
          <t>3 × 12–15</t>
        </is>
      </c>
      <c r="C11" s="63" t="inlineStr">
        <is>
          <t>75</t>
        </is>
      </c>
      <c r="D11" s="63" t="inlineStr">
        <is>
          <t>80</t>
        </is>
      </c>
      <c r="E11" s="63" t="inlineStr">
        <is>
          <t>80</t>
        </is>
      </c>
      <c r="F11" s="63" t="inlineStr">
        <is>
          <t>85</t>
        </is>
      </c>
      <c r="G11" s="38" t="inlineStr">
        <is>
          <t>slow eccentric</t>
        </is>
      </c>
    </row>
    <row r="12" ht="16" customHeight="1">
      <c r="A12" s="59" t="inlineStr">
        <is>
          <t>Hanging Leg Raise ⊃ Pallof</t>
        </is>
      </c>
      <c r="B12" s="60" t="inlineStr">
        <is>
          <t>3 × 8–12 / 3 × 10 ea</t>
        </is>
      </c>
      <c r="C12" s="60" t="inlineStr">
        <is>
          <t>BW / light</t>
        </is>
      </c>
      <c r="D12" s="60" t="inlineStr">
        <is>
          <t>BW / light</t>
        </is>
      </c>
      <c r="E12" s="60" t="inlineStr">
        <is>
          <t>BW / +2.5</t>
        </is>
      </c>
      <c r="F12" s="60" t="inlineStr">
        <is>
          <t>BW / +2.5</t>
        </is>
      </c>
      <c r="G12" s="61" t="inlineStr">
        <is>
          <t>Pallof = anti-rotation</t>
        </is>
      </c>
    </row>
    <row r="13" ht="16" customHeight="1">
      <c r="A13" s="62" t="inlineStr">
        <is>
          <t>Side Bend (hyperext machine)</t>
        </is>
      </c>
      <c r="B13" s="63" t="inlineStr">
        <is>
          <t>2 × 15/side</t>
        </is>
      </c>
      <c r="C13" s="63" t="inlineStr">
        <is>
          <t>12.5</t>
        </is>
      </c>
      <c r="D13" s="63" t="inlineStr">
        <is>
          <t>12.5</t>
        </is>
      </c>
      <c r="E13" s="63" t="inlineStr">
        <is>
          <t>12.5</t>
        </is>
      </c>
      <c r="F13" s="63" t="inlineStr">
        <is>
          <t>12.5</t>
        </is>
      </c>
      <c r="G13" s="38" t="inlineStr">
        <is>
          <t>NEVER add load</t>
        </is>
      </c>
    </row>
    <row r="14">
      <c r="A14" s="58" t="inlineStr">
        <is>
          <t>S4 · SHOULDERS + ARMS  —  ~45 min</t>
        </is>
      </c>
    </row>
    <row r="15" ht="16" customHeight="1">
      <c r="A15" s="62" t="inlineStr">
        <is>
          <t>Seated Shoulder Press</t>
        </is>
      </c>
      <c r="B15" s="63" t="inlineStr">
        <is>
          <t>4 × 8–10</t>
        </is>
      </c>
      <c r="C15" s="63" t="inlineStr">
        <is>
          <t>43 × 10,9,8,8</t>
        </is>
      </c>
      <c r="D15" s="63" t="inlineStr">
        <is>
          <t>45 × 10,9,8,8</t>
        </is>
      </c>
      <c r="E15" s="63" t="inlineStr">
        <is>
          <t>47 × 9,8,8,7</t>
        </is>
      </c>
      <c r="F15" s="63" t="inlineStr">
        <is>
          <t>50 × 8,8,7,7</t>
        </is>
      </c>
      <c r="G15" s="38" t="inlineStr">
        <is>
          <t>w-up 25×12, 36×8</t>
        </is>
      </c>
    </row>
    <row r="16" ht="16" customHeight="1">
      <c r="A16" s="59" t="inlineStr">
        <is>
          <t>Cable Lateral Raise (1-arm)</t>
        </is>
      </c>
      <c r="B16" s="60" t="inlineStr">
        <is>
          <t>3 × 12–15</t>
        </is>
      </c>
      <c r="C16" s="60" t="inlineStr">
        <is>
          <t>7.5</t>
        </is>
      </c>
      <c r="D16" s="60" t="inlineStr">
        <is>
          <t>7.5</t>
        </is>
      </c>
      <c r="E16" s="60" t="inlineStr">
        <is>
          <t>10</t>
        </is>
      </c>
      <c r="F16" s="60" t="inlineStr">
        <is>
          <t>10</t>
        </is>
      </c>
      <c r="G16" s="61" t="inlineStr">
        <is>
          <t>slow, no swing</t>
        </is>
      </c>
    </row>
    <row r="17" ht="16" customHeight="1">
      <c r="A17" s="62" t="inlineStr">
        <is>
          <t>Rear Delt Fly (Machine)</t>
        </is>
      </c>
      <c r="B17" s="63" t="inlineStr">
        <is>
          <t>3 × 12–15</t>
        </is>
      </c>
      <c r="C17" s="63" t="inlineStr">
        <is>
          <t>52</t>
        </is>
      </c>
      <c r="D17" s="63" t="inlineStr">
        <is>
          <t>55</t>
        </is>
      </c>
      <c r="E17" s="63" t="inlineStr">
        <is>
          <t>57</t>
        </is>
      </c>
      <c r="F17" s="63" t="inlineStr">
        <is>
          <t>59</t>
        </is>
      </c>
      <c r="G17" s="38" t="inlineStr"/>
    </row>
    <row r="18" ht="16" customHeight="1">
      <c r="A18" s="59" t="inlineStr">
        <is>
          <t>Hammer Curl ⊃ Overhead Tri Ext</t>
        </is>
      </c>
      <c r="B18" s="60" t="inlineStr">
        <is>
          <t>3 × 8–10 / 3 × 10–12</t>
        </is>
      </c>
      <c r="C18" s="60" t="inlineStr">
        <is>
          <t>30 / 20</t>
        </is>
      </c>
      <c r="D18" s="60" t="inlineStr">
        <is>
          <t>30 / 22.5</t>
        </is>
      </c>
      <c r="E18" s="60" t="inlineStr">
        <is>
          <t>32.5 / 22.5</t>
        </is>
      </c>
      <c r="F18" s="60" t="inlineStr">
        <is>
          <t>32.5 / 25</t>
        </is>
      </c>
      <c r="G18" s="61" t="inlineStr">
        <is>
          <t>superset</t>
        </is>
      </c>
    </row>
    <row r="19" ht="16" customHeight="1">
      <c r="A19" s="62" t="inlineStr">
        <is>
          <t>Incline DB Curl ⊃ Rope Pushdown</t>
        </is>
      </c>
      <c r="B19" s="63" t="inlineStr">
        <is>
          <t>2 × 10–12 / 2 × 12–15</t>
        </is>
      </c>
      <c r="C19" s="63" t="inlineStr">
        <is>
          <t>25 / 50</t>
        </is>
      </c>
      <c r="D19" s="63" t="inlineStr">
        <is>
          <t>25 / 52</t>
        </is>
      </c>
      <c r="E19" s="63" t="inlineStr">
        <is>
          <t>27.5 / 55</t>
        </is>
      </c>
      <c r="F19" s="63" t="inlineStr">
        <is>
          <t>27.5 / 57</t>
        </is>
      </c>
      <c r="G19" s="38" t="inlineStr">
        <is>
          <t>superset</t>
        </is>
      </c>
    </row>
    <row r="20">
      <c r="A20" s="58" t="inlineStr">
        <is>
          <t>S6 · CHEST + BACK  —  ~60 min</t>
        </is>
      </c>
    </row>
    <row r="21" ht="16" customHeight="1">
      <c r="A21" s="62" t="inlineStr">
        <is>
          <t>Pull-Up</t>
        </is>
      </c>
      <c r="B21" s="63" t="inlineStr">
        <is>
          <t>4 × 5–8</t>
        </is>
      </c>
      <c r="C21" s="63" t="inlineStr">
        <is>
          <t>BW max</t>
        </is>
      </c>
      <c r="D21" s="63" t="inlineStr">
        <is>
          <t>BW max</t>
        </is>
      </c>
      <c r="E21" s="63" t="inlineStr">
        <is>
          <t>+5 at 8</t>
        </is>
      </c>
      <c r="F21" s="63" t="inlineStr">
        <is>
          <t>+7.5 at 8</t>
        </is>
      </c>
      <c r="G21" s="38" t="inlineStr">
        <is>
          <t>FIRST — fully fresh</t>
        </is>
      </c>
    </row>
    <row r="22" ht="16" customHeight="1">
      <c r="A22" s="59" t="inlineStr">
        <is>
          <t>Incline DB Press</t>
        </is>
      </c>
      <c r="B22" s="60" t="inlineStr">
        <is>
          <t>4 × 6–10</t>
        </is>
      </c>
      <c r="C22" s="60" t="inlineStr">
        <is>
          <t>50 × 8,8,7,6</t>
        </is>
      </c>
      <c r="D22" s="60" t="inlineStr">
        <is>
          <t>52.5</t>
        </is>
      </c>
      <c r="E22" s="60" t="inlineStr">
        <is>
          <t>55</t>
        </is>
      </c>
      <c r="F22" s="60" t="inlineStr">
        <is>
          <t>55</t>
        </is>
      </c>
      <c r="G22" s="61" t="inlineStr">
        <is>
          <t>w-up 2×20×10</t>
        </is>
      </c>
    </row>
    <row r="23" ht="16" customHeight="1">
      <c r="A23" s="62" t="inlineStr">
        <is>
          <t>Flat DB Press ⊃ 1-Arm Machine Row</t>
        </is>
      </c>
      <c r="B23" s="63" t="inlineStr">
        <is>
          <t>3 × 8–12 / 3 × 8–10</t>
        </is>
      </c>
      <c r="C23" s="63" t="inlineStr">
        <is>
          <t>2×22 / 40</t>
        </is>
      </c>
      <c r="D23" s="63" t="inlineStr">
        <is>
          <t>2×24 / 45</t>
        </is>
      </c>
      <c r="E23" s="63" t="inlineStr">
        <is>
          <t>2×26 / 50</t>
        </is>
      </c>
      <c r="F23" s="63" t="inlineStr">
        <is>
          <t>2×28 / 52</t>
        </is>
      </c>
      <c r="G23" s="38" t="inlineStr">
        <is>
          <t>superset</t>
        </is>
      </c>
    </row>
    <row r="24" ht="16" customHeight="1">
      <c r="A24" s="59" t="inlineStr">
        <is>
          <t>Lat Pulldown</t>
        </is>
      </c>
      <c r="B24" s="60" t="inlineStr">
        <is>
          <t>3 × 10–12</t>
        </is>
      </c>
      <c r="C24" s="60" t="inlineStr">
        <is>
          <t>54</t>
        </is>
      </c>
      <c r="D24" s="60" t="inlineStr">
        <is>
          <t>57</t>
        </is>
      </c>
      <c r="E24" s="60" t="inlineStr">
        <is>
          <t>59</t>
        </is>
      </c>
      <c r="F24" s="60" t="inlineStr">
        <is>
          <t>61</t>
        </is>
      </c>
      <c r="G24" s="61" t="inlineStr"/>
    </row>
    <row r="25" ht="16" customHeight="1">
      <c r="A25" s="62" t="inlineStr">
        <is>
          <t>Cable Fly Crossovers</t>
        </is>
      </c>
      <c r="B25" s="63" t="inlineStr">
        <is>
          <t>3 × 12–15</t>
        </is>
      </c>
      <c r="C25" s="63" t="inlineStr">
        <is>
          <t>60</t>
        </is>
      </c>
      <c r="D25" s="63" t="inlineStr">
        <is>
          <t>60</t>
        </is>
      </c>
      <c r="E25" s="63" t="inlineStr">
        <is>
          <t>65</t>
        </is>
      </c>
      <c r="F25" s="63" t="inlineStr">
        <is>
          <t>65</t>
        </is>
      </c>
      <c r="G25" s="38" t="inlineStr">
        <is>
          <t>the only fly variation</t>
        </is>
      </c>
    </row>
    <row r="26" ht="16" customHeight="1">
      <c r="A26" s="59" t="inlineStr">
        <is>
          <t>Seated Cable Row</t>
        </is>
      </c>
      <c r="B26" s="60" t="inlineStr">
        <is>
          <t>3 × 10–12</t>
        </is>
      </c>
      <c r="C26" s="60" t="inlineStr">
        <is>
          <t>50</t>
        </is>
      </c>
      <c r="D26" s="60" t="inlineStr">
        <is>
          <t>55</t>
        </is>
      </c>
      <c r="E26" s="60" t="inlineStr">
        <is>
          <t>57</t>
        </is>
      </c>
      <c r="F26" s="60" t="inlineStr">
        <is>
          <t>60</t>
        </is>
      </c>
      <c r="G26" s="61" t="inlineStr">
        <is>
          <t>squeeze, don't heave</t>
        </is>
      </c>
    </row>
  </sheetData>
  <mergeCells count="5">
    <mergeCell ref="A14:G14"/>
    <mergeCell ref="A2:E2"/>
    <mergeCell ref="A20:G20"/>
    <mergeCell ref="A1:E1"/>
    <mergeCell ref="A5:G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10" customWidth="1" min="3" max="3"/>
    <col width="10" customWidth="1" min="4" max="4"/>
    <col width="10" customWidth="1" min="5" max="5"/>
    <col width="26" customWidth="1" min="6" max="6"/>
    <col width="10" customWidth="1" min="7" max="7"/>
    <col width="26" customWidth="1" min="8" max="8"/>
  </cols>
  <sheetData>
    <row r="1" ht="30" customHeight="1">
      <c r="A1" s="56" t="inlineStr">
        <is>
          <t>THE BUILD</t>
        </is>
      </c>
    </row>
    <row r="2">
      <c r="A2" s="2" t="inlineStr">
        <is>
          <t>10.5 km/week today → 42 km peak → race. Down weeks are shaded — they are not optional.</t>
        </is>
      </c>
    </row>
    <row r="4" ht="26" customHeight="1">
      <c r="A4" s="57" t="inlineStr">
        <is>
          <t>Wk</t>
        </is>
      </c>
      <c r="B4" s="57" t="inlineStr">
        <is>
          <t>Dates</t>
        </is>
      </c>
      <c r="C4" s="57" t="inlineStr">
        <is>
          <t>Phase</t>
        </is>
      </c>
      <c r="D4" s="57" t="inlineStr">
        <is>
          <t>Total km</t>
        </is>
      </c>
      <c r="E4" s="57" t="inlineStr">
        <is>
          <t>Long run</t>
        </is>
      </c>
      <c r="F4" s="57" t="inlineStr">
        <is>
          <t>S1 session</t>
        </is>
      </c>
      <c r="G4" s="57" t="inlineStr">
        <is>
          <t>kcal/day</t>
        </is>
      </c>
      <c r="H4" s="57" t="inlineStr">
        <is>
          <t>Note</t>
        </is>
      </c>
    </row>
    <row r="5" ht="16" customHeight="1">
      <c r="A5" s="62" t="n">
        <v>1</v>
      </c>
      <c r="B5" s="63" t="inlineStr">
        <is>
          <t>17 Aug–23 Aug</t>
        </is>
      </c>
      <c r="C5" s="63" t="inlineStr">
        <is>
          <t>Base</t>
        </is>
      </c>
      <c r="D5" s="63" t="n">
        <v>16</v>
      </c>
      <c r="E5" s="63" t="n">
        <v>6</v>
      </c>
      <c r="F5" s="63" t="inlineStr">
        <is>
          <t>Easy + strides</t>
        </is>
      </c>
      <c r="G5" s="63" t="n">
        <v>1900</v>
      </c>
      <c r="H5" s="38" t="inlineStr"/>
    </row>
    <row r="6" ht="16" customHeight="1">
      <c r="A6" s="59" t="n">
        <v>2</v>
      </c>
      <c r="B6" s="60" t="inlineStr">
        <is>
          <t>24 Aug–30 Aug</t>
        </is>
      </c>
      <c r="C6" s="60" t="inlineStr">
        <is>
          <t>Base</t>
        </is>
      </c>
      <c r="D6" s="60" t="n">
        <v>19</v>
      </c>
      <c r="E6" s="60" t="n">
        <v>8</v>
      </c>
      <c r="F6" s="60" t="inlineStr">
        <is>
          <t>Easy + strides</t>
        </is>
      </c>
      <c r="G6" s="60" t="n">
        <v>1900</v>
      </c>
      <c r="H6" s="61" t="inlineStr"/>
    </row>
    <row r="7" ht="16" customHeight="1">
      <c r="A7" s="62" t="n">
        <v>3</v>
      </c>
      <c r="B7" s="63" t="inlineStr">
        <is>
          <t>31 Aug–06 Sep</t>
        </is>
      </c>
      <c r="C7" s="63" t="inlineStr">
        <is>
          <t>Base</t>
        </is>
      </c>
      <c r="D7" s="63" t="n">
        <v>22</v>
      </c>
      <c r="E7" s="63" t="n">
        <v>10</v>
      </c>
      <c r="F7" s="63" t="inlineStr">
        <is>
          <t>Easy + strides</t>
        </is>
      </c>
      <c r="G7" s="63" t="n">
        <v>1900</v>
      </c>
      <c r="H7" s="38" t="inlineStr"/>
    </row>
    <row r="8" ht="16" customHeight="1">
      <c r="A8" s="64" t="n">
        <v>4</v>
      </c>
      <c r="B8" s="65" t="inlineStr">
        <is>
          <t>07 Sep–13 Sep</t>
        </is>
      </c>
      <c r="C8" s="65" t="inlineStr">
        <is>
          <t>Base</t>
        </is>
      </c>
      <c r="D8" s="65" t="n">
        <v>16</v>
      </c>
      <c r="E8" s="65" t="n">
        <v>8</v>
      </c>
      <c r="F8" s="65" t="inlineStr">
        <is>
          <t>Easy only</t>
        </is>
      </c>
      <c r="G8" s="65" t="n">
        <v>1900</v>
      </c>
      <c r="H8" s="45" t="inlineStr">
        <is>
          <t>DOWN WEEK</t>
        </is>
      </c>
    </row>
    <row r="9" ht="16" customHeight="1">
      <c r="A9" s="62" t="n">
        <v>5</v>
      </c>
      <c r="B9" s="63" t="inlineStr">
        <is>
          <t>14 Sep–20 Sep</t>
        </is>
      </c>
      <c r="C9" s="63" t="inlineStr">
        <is>
          <t>Base</t>
        </is>
      </c>
      <c r="D9" s="63" t="n">
        <v>25</v>
      </c>
      <c r="E9" s="63" t="n">
        <v>12</v>
      </c>
      <c r="F9" s="63" t="inlineStr">
        <is>
          <t>5k TIME TRIAL</t>
        </is>
      </c>
      <c r="G9" s="63" t="n">
        <v>1900</v>
      </c>
      <c r="H9" s="38" t="inlineStr">
        <is>
          <t>CHECKPOINT · 5k ≤ 27:45</t>
        </is>
      </c>
    </row>
    <row r="10" ht="16" customHeight="1">
      <c r="A10" s="59" t="n">
        <v>6</v>
      </c>
      <c r="B10" s="60" t="inlineStr">
        <is>
          <t>21 Sep–27 Sep</t>
        </is>
      </c>
      <c r="C10" s="60" t="inlineStr">
        <is>
          <t>Build</t>
        </is>
      </c>
      <c r="D10" s="60" t="n">
        <v>28</v>
      </c>
      <c r="E10" s="60" t="n">
        <v>12</v>
      </c>
      <c r="F10" s="60" t="inlineStr">
        <is>
          <t>TEMPO 3×1km @6:20</t>
        </is>
      </c>
      <c r="G10" s="60" t="n">
        <v>2050</v>
      </c>
      <c r="H10" s="61" t="inlineStr"/>
    </row>
    <row r="11" ht="16" customHeight="1">
      <c r="A11" s="62" t="n">
        <v>7</v>
      </c>
      <c r="B11" s="63" t="inlineStr">
        <is>
          <t>28 Sep–04 Oct</t>
        </is>
      </c>
      <c r="C11" s="63" t="inlineStr">
        <is>
          <t>Build</t>
        </is>
      </c>
      <c r="D11" s="63" t="n">
        <v>31</v>
      </c>
      <c r="E11" s="63" t="n">
        <v>14</v>
      </c>
      <c r="F11" s="63" t="inlineStr">
        <is>
          <t>TEMPO 4×1km @6:15</t>
        </is>
      </c>
      <c r="G11" s="63" t="n">
        <v>2050</v>
      </c>
      <c r="H11" s="38" t="inlineStr"/>
    </row>
    <row r="12" ht="16" customHeight="1">
      <c r="A12" s="64" t="n">
        <v>8</v>
      </c>
      <c r="B12" s="65" t="inlineStr">
        <is>
          <t>05 Oct–11 Oct</t>
        </is>
      </c>
      <c r="C12" s="65" t="inlineStr">
        <is>
          <t>Build</t>
        </is>
      </c>
      <c r="D12" s="65" t="n">
        <v>23</v>
      </c>
      <c r="E12" s="65" t="n">
        <v>9</v>
      </c>
      <c r="F12" s="65" t="inlineStr">
        <is>
          <t>INTERVALS 400m ×6</t>
        </is>
      </c>
      <c r="G12" s="65" t="n">
        <v>2050</v>
      </c>
      <c r="H12" s="45" t="inlineStr">
        <is>
          <t>DOWN WEEK</t>
        </is>
      </c>
    </row>
    <row r="13" ht="16" customHeight="1">
      <c r="A13" s="62" t="n">
        <v>9</v>
      </c>
      <c r="B13" s="63" t="inlineStr">
        <is>
          <t>12 Oct–18 Oct</t>
        </is>
      </c>
      <c r="C13" s="63" t="inlineStr">
        <is>
          <t>Build</t>
        </is>
      </c>
      <c r="D13" s="63" t="n">
        <v>34</v>
      </c>
      <c r="E13" s="63" t="n">
        <v>15</v>
      </c>
      <c r="F13" s="63" t="inlineStr">
        <is>
          <t>TEMPO 5×1km @6:10</t>
        </is>
      </c>
      <c r="G13" s="63" t="n">
        <v>2050</v>
      </c>
      <c r="H13" s="38" t="inlineStr"/>
    </row>
    <row r="14" ht="16" customHeight="1">
      <c r="A14" s="59" t="n">
        <v>10</v>
      </c>
      <c r="B14" s="60" t="inlineStr">
        <is>
          <t>19 Oct–25 Oct</t>
        </is>
      </c>
      <c r="C14" s="60" t="inlineStr">
        <is>
          <t>Build</t>
        </is>
      </c>
      <c r="D14" s="60" t="n">
        <v>37</v>
      </c>
      <c r="E14" s="60" t="n">
        <v>16</v>
      </c>
      <c r="F14" s="60" t="inlineStr">
        <is>
          <t>TEMPO 2×3km @6:20</t>
        </is>
      </c>
      <c r="G14" s="60" t="n">
        <v>2050</v>
      </c>
      <c r="H14" s="61" t="inlineStr"/>
    </row>
    <row r="15" ht="16" customHeight="1">
      <c r="A15" s="64" t="n">
        <v>11</v>
      </c>
      <c r="B15" s="65" t="inlineStr">
        <is>
          <t>26 Oct–01 Nov</t>
        </is>
      </c>
      <c r="C15" s="65" t="inlineStr">
        <is>
          <t>Build</t>
        </is>
      </c>
      <c r="D15" s="65" t="n">
        <v>27</v>
      </c>
      <c r="E15" s="65" t="n">
        <v>10</v>
      </c>
      <c r="F15" s="65" t="inlineStr">
        <is>
          <t>10k TIME TRIAL</t>
        </is>
      </c>
      <c r="G15" s="65" t="n">
        <v>2050</v>
      </c>
      <c r="H15" s="45" t="inlineStr">
        <is>
          <t>DOWN WEEK + checkpoint</t>
        </is>
      </c>
    </row>
    <row r="16" ht="16" customHeight="1">
      <c r="A16" s="59" t="n">
        <v>12</v>
      </c>
      <c r="B16" s="60" t="inlineStr">
        <is>
          <t>02 Nov–08 Nov</t>
        </is>
      </c>
      <c r="C16" s="60" t="inlineStr">
        <is>
          <t>Peak</t>
        </is>
      </c>
      <c r="D16" s="60" t="n">
        <v>39</v>
      </c>
      <c r="E16" s="60" t="n">
        <v>17</v>
      </c>
      <c r="F16" s="60" t="inlineStr">
        <is>
          <t>TEMPO 3×3km @HM</t>
        </is>
      </c>
      <c r="G16" s="60" t="n">
        <v>2200</v>
      </c>
      <c r="H16" s="61" t="inlineStr"/>
    </row>
    <row r="17" ht="16" customHeight="1">
      <c r="A17" s="62" t="n">
        <v>13</v>
      </c>
      <c r="B17" s="63" t="inlineStr">
        <is>
          <t>09 Nov–15 Nov</t>
        </is>
      </c>
      <c r="C17" s="63" t="inlineStr">
        <is>
          <t>Peak</t>
        </is>
      </c>
      <c r="D17" s="63" t="n">
        <v>42</v>
      </c>
      <c r="E17" s="63" t="n">
        <v>19</v>
      </c>
      <c r="F17" s="63" t="inlineStr">
        <is>
          <t>INTERVALS 400m ×8</t>
        </is>
      </c>
      <c r="G17" s="63" t="n">
        <v>2200</v>
      </c>
      <c r="H17" s="38" t="inlineStr">
        <is>
          <t>PEAK WEEK</t>
        </is>
      </c>
    </row>
    <row r="18" ht="16" customHeight="1">
      <c r="A18" s="64" t="n">
        <v>14</v>
      </c>
      <c r="B18" s="65" t="inlineStr">
        <is>
          <t>16 Nov–22 Nov</t>
        </is>
      </c>
      <c r="C18" s="65" t="inlineStr">
        <is>
          <t>Peak</t>
        </is>
      </c>
      <c r="D18" s="65" t="n">
        <v>31</v>
      </c>
      <c r="E18" s="65" t="n">
        <v>12</v>
      </c>
      <c r="F18" s="65" t="inlineStr">
        <is>
          <t>TEMPO 2×2km @HM</t>
        </is>
      </c>
      <c r="G18" s="65" t="n">
        <v>2200</v>
      </c>
      <c r="H18" s="45" t="inlineStr">
        <is>
          <t>DOWN WEEK</t>
        </is>
      </c>
    </row>
    <row r="19" ht="16" customHeight="1">
      <c r="A19" s="62" t="n">
        <v>15</v>
      </c>
      <c r="B19" s="63" t="inlineStr">
        <is>
          <t>23 Nov–29 Nov</t>
        </is>
      </c>
      <c r="C19" s="63" t="inlineStr">
        <is>
          <t>Peak</t>
        </is>
      </c>
      <c r="D19" s="63" t="n">
        <v>39</v>
      </c>
      <c r="E19" s="63" t="n">
        <v>18</v>
      </c>
      <c r="F19" s="63" t="inlineStr">
        <is>
          <t>Easy + strides</t>
        </is>
      </c>
      <c r="G19" s="63" t="n">
        <v>2200</v>
      </c>
      <c r="H19" s="38" t="inlineStr"/>
    </row>
    <row r="20" ht="16" customHeight="1">
      <c r="A20" s="59" t="n">
        <v>16</v>
      </c>
      <c r="B20" s="60" t="inlineStr">
        <is>
          <t>30 Nov–06 Dec</t>
        </is>
      </c>
      <c r="C20" s="60" t="inlineStr">
        <is>
          <t>Taper</t>
        </is>
      </c>
      <c r="D20" s="60" t="n">
        <v>28</v>
      </c>
      <c r="E20" s="60" t="n">
        <v>10</v>
      </c>
      <c r="F20" s="60" t="inlineStr">
        <is>
          <t>TEMPO 6×800m @HM</t>
        </is>
      </c>
      <c r="G20" s="60" t="n">
        <v>2200</v>
      </c>
      <c r="H20" s="61" t="inlineStr"/>
    </row>
    <row r="21" ht="16" customHeight="1">
      <c r="A21" s="62" t="n">
        <v>17</v>
      </c>
      <c r="B21" s="63" t="inlineStr">
        <is>
          <t>07 Dec–13 Dec</t>
        </is>
      </c>
      <c r="C21" s="63" t="inlineStr">
        <is>
          <t>Taper</t>
        </is>
      </c>
      <c r="D21" s="63" t="n">
        <v>21</v>
      </c>
      <c r="E21" s="63" t="n">
        <v>21.1</v>
      </c>
      <c r="F21" s="63" t="inlineStr">
        <is>
          <t>RACE WEEK</t>
        </is>
      </c>
      <c r="G21" s="63" t="n">
        <v>2400</v>
      </c>
      <c r="H21" s="38" t="inlineStr">
        <is>
          <t>RACE 13 Dec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38" customWidth="1" min="2" max="2"/>
    <col width="10" customWidth="1" min="3" max="3"/>
    <col width="12" customWidth="1" min="4" max="4"/>
  </cols>
  <sheetData>
    <row r="1" ht="30" customHeight="1">
      <c r="A1" s="56" t="inlineStr">
        <is>
          <t>THE TWELVE MEALS</t>
        </is>
      </c>
    </row>
    <row r="2">
      <c r="A2" s="2" t="inlineStr">
        <is>
          <t>130 g chicken per meal (ask cook for 260 g raw). Regular brown bread, not high-protein. Skyr-sriracha sauces, no mayo, no butter.</t>
        </is>
      </c>
    </row>
    <row r="4" ht="26" customHeight="1">
      <c r="A4" s="57" t="inlineStr">
        <is>
          <t>Meal</t>
        </is>
      </c>
      <c r="B4" s="57" t="inlineStr">
        <is>
          <t>Carb portion — weighed dry</t>
        </is>
      </c>
      <c r="C4" s="57" t="inlineStr">
        <is>
          <t>kcal</t>
        </is>
      </c>
      <c r="D4" s="57" t="inlineStr">
        <is>
          <t>Protein g</t>
        </is>
      </c>
    </row>
    <row r="5" ht="16" customHeight="1">
      <c r="A5" s="62" t="inlineStr">
        <is>
          <t>Rice chicken bowl</t>
        </is>
      </c>
      <c r="B5" s="63" t="inlineStr">
        <is>
          <t>60 g dry basmati</t>
        </is>
      </c>
      <c r="C5" s="63" t="n">
        <v>556</v>
      </c>
      <c r="D5" s="38" t="n">
        <v>41</v>
      </c>
    </row>
    <row r="6" ht="16" customHeight="1">
      <c r="A6" s="59" t="inlineStr">
        <is>
          <t>Fried rice + chicken</t>
        </is>
      </c>
      <c r="B6" s="60" t="inlineStr">
        <is>
          <t>55 g dry basmati</t>
        </is>
      </c>
      <c r="C6" s="60" t="n">
        <v>538</v>
      </c>
      <c r="D6" s="61" t="n">
        <v>44</v>
      </c>
    </row>
    <row r="7" ht="16" customHeight="1">
      <c r="A7" s="62" t="inlineStr">
        <is>
          <t>Shirataki + chicken</t>
        </is>
      </c>
      <c r="B7" s="63" t="inlineStr">
        <is>
          <t>55 g dry basmati on the side</t>
        </is>
      </c>
      <c r="C7" s="63" t="n">
        <v>531</v>
      </c>
      <c r="D7" s="38" t="n">
        <v>47</v>
      </c>
    </row>
    <row r="8" ht="16" customHeight="1">
      <c r="A8" s="59" t="inlineStr">
        <is>
          <t>Pasta + chicken</t>
        </is>
      </c>
      <c r="B8" s="60" t="inlineStr">
        <is>
          <t>65 g dry pasta</t>
        </is>
      </c>
      <c r="C8" s="60" t="n">
        <v>551</v>
      </c>
      <c r="D8" s="61" t="n">
        <v>51</v>
      </c>
    </row>
    <row r="9" ht="16" customHeight="1">
      <c r="A9" s="62" t="inlineStr">
        <is>
          <t>Chicken kebab</t>
        </is>
      </c>
      <c r="B9" s="63" t="inlineStr">
        <is>
          <t>3 roti (90 g atta)</t>
        </is>
      </c>
      <c r="C9" s="63" t="n">
        <v>570</v>
      </c>
      <c r="D9" s="38" t="n">
        <v>53</v>
      </c>
    </row>
    <row r="10" ht="16" customHeight="1">
      <c r="A10" s="59" t="inlineStr">
        <is>
          <t>Chicken pizza on roti</t>
        </is>
      </c>
      <c r="B10" s="60" t="inlineStr">
        <is>
          <t>2 roti base (60 g atta)</t>
        </is>
      </c>
      <c r="C10" s="60" t="n">
        <v>548</v>
      </c>
      <c r="D10" s="61" t="n">
        <v>54</v>
      </c>
    </row>
    <row r="11" ht="16" customHeight="1">
      <c r="A11" s="62" t="inlineStr">
        <is>
          <t>Chicken sandwich</t>
        </is>
      </c>
      <c r="B11" s="63" t="inlineStr">
        <is>
          <t>4 slices brown bread</t>
        </is>
      </c>
      <c r="C11" s="63" t="n">
        <v>564</v>
      </c>
      <c r="D11" s="38" t="n">
        <v>55</v>
      </c>
    </row>
    <row r="12" ht="16" customHeight="1">
      <c r="A12" s="59" t="inlineStr">
        <is>
          <t>Chicken salad</t>
        </is>
      </c>
      <c r="B12" s="60" t="inlineStr">
        <is>
          <t>4 slices brown bread</t>
        </is>
      </c>
      <c r="C12" s="60" t="n">
        <v>544</v>
      </c>
      <c r="D12" s="61" t="n">
        <v>55</v>
      </c>
    </row>
    <row r="13" ht="16" customHeight="1">
      <c r="A13" s="62" t="inlineStr">
        <is>
          <t>Chicken wrap</t>
        </is>
      </c>
      <c r="B13" s="63" t="inlineStr">
        <is>
          <t>2 tortillas</t>
        </is>
      </c>
      <c r="C13" s="63" t="n">
        <v>564</v>
      </c>
      <c r="D13" s="38" t="n">
        <v>52</v>
      </c>
    </row>
    <row r="14" ht="16" customHeight="1">
      <c r="A14" s="59" t="inlineStr">
        <is>
          <t>Chicken tacos</t>
        </is>
      </c>
      <c r="B14" s="60" t="inlineStr">
        <is>
          <t>5 corn tortillas</t>
        </is>
      </c>
      <c r="C14" s="60" t="n">
        <v>534</v>
      </c>
      <c r="D14" s="61" t="n">
        <v>49</v>
      </c>
    </row>
    <row r="15" ht="16" customHeight="1">
      <c r="A15" s="62" t="inlineStr">
        <is>
          <t>Chicken burger ×2</t>
        </is>
      </c>
      <c r="B15" s="63" t="inlineStr">
        <is>
          <t>2 buns (= 2 burgers)</t>
        </is>
      </c>
      <c r="C15" s="63" t="n">
        <v>564</v>
      </c>
      <c r="D15" s="38" t="n">
        <v>55</v>
      </c>
    </row>
    <row r="16" ht="16" customHeight="1">
      <c r="A16" s="59" t="inlineStr">
        <is>
          <t>Rice paper rolls (tofu 230 g)</t>
        </is>
      </c>
      <c r="B16" s="60" t="inlineStr">
        <is>
          <t>5 sheets</t>
        </is>
      </c>
      <c r="C16" s="60" t="n">
        <v>637</v>
      </c>
      <c r="D16" s="61" t="n">
        <v>50</v>
      </c>
    </row>
    <row r="17">
      <c r="A17" s="58" t="inlineStr">
        <is>
          <t>DAILY, ON TOP OF TWO MAIN MEALS</t>
        </is>
      </c>
    </row>
    <row r="18" ht="16" customHeight="1">
      <c r="A18" s="59" t="inlineStr">
        <is>
          <t>Breakfast</t>
        </is>
      </c>
      <c r="B18" s="60" t="inlineStr">
        <is>
          <t>70 g oats + 100 g skyr + banana</t>
        </is>
      </c>
      <c r="C18" s="60" t="n">
        <v>410</v>
      </c>
      <c r="D18" s="61" t="n">
        <v>18</v>
      </c>
    </row>
    <row r="19" ht="16" customHeight="1">
      <c r="A19" s="62" t="inlineStr">
        <is>
          <t>Extras</t>
        </is>
      </c>
      <c r="B19" s="63" t="inlineStr">
        <is>
          <t>1 scoop yeast protein + 50 g skyr + nuts + 2 fruit</t>
        </is>
      </c>
      <c r="C19" s="63" t="n">
        <v>330</v>
      </c>
      <c r="D19" s="38" t="n">
        <v>35</v>
      </c>
    </row>
    <row r="20" ht="16" customHeight="1">
      <c r="A20" s="59">
        <f> DAY TOTAL</f>
        <v/>
      </c>
      <c r="B20" s="60" t="inlineStr">
        <is>
          <t>eggs optional (+210 kcal / +19 g)</t>
        </is>
      </c>
      <c r="C20" s="60" t="n">
        <v>1857</v>
      </c>
      <c r="D20" s="61" t="n">
        <v>154</v>
      </c>
    </row>
  </sheetData>
  <mergeCells count="3">
    <mergeCell ref="A2:E2"/>
    <mergeCell ref="A17:D17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16" customWidth="1" min="2" max="2"/>
    <col width="44" customWidth="1" min="3" max="3"/>
  </cols>
  <sheetData>
    <row r="1" ht="30" customHeight="1">
      <c r="A1" s="56" t="inlineStr">
        <is>
          <t>WEEKLY SHOP</t>
        </is>
      </c>
    </row>
    <row r="2">
      <c r="A2" s="2" t="inlineStr">
        <is>
          <t>One order a week. Quantities are for seven days.</t>
        </is>
      </c>
    </row>
    <row r="4" ht="26" customHeight="1">
      <c r="A4" s="57" t="inlineStr">
        <is>
          <t>Item</t>
        </is>
      </c>
      <c r="B4" s="57" t="inlineStr">
        <is>
          <t>Weekly qty</t>
        </is>
      </c>
      <c r="C4" s="57" t="inlineStr">
        <is>
          <t>Note</t>
        </is>
      </c>
    </row>
    <row r="5">
      <c r="A5" s="58" t="inlineStr">
        <is>
          <t>PROTEIN</t>
        </is>
      </c>
    </row>
    <row r="6" ht="16" customHeight="1">
      <c r="A6" s="59" t="inlineStr">
        <is>
          <t>Chicken breast (raw)</t>
        </is>
      </c>
      <c r="B6" s="60" t="inlineStr">
        <is>
          <t>2.0 kg</t>
        </is>
      </c>
      <c r="C6" s="61" t="inlineStr">
        <is>
          <t>260 g per meal — your share ~130 g</t>
        </is>
      </c>
    </row>
    <row r="7" ht="16" customHeight="1">
      <c r="A7" s="62" t="inlineStr">
        <is>
          <t>Firm tofu</t>
        </is>
      </c>
      <c r="B7" s="63" t="inlineStr">
        <is>
          <t>500 g</t>
        </is>
      </c>
      <c r="C7" s="38" t="inlineStr">
        <is>
          <t>2 meals/week, 230 g each</t>
        </is>
      </c>
    </row>
    <row r="8" ht="16" customHeight="1">
      <c r="A8" s="59" t="inlineStr">
        <is>
          <t>Milky Mist skyr</t>
        </is>
      </c>
      <c r="B8" s="60" t="inlineStr">
        <is>
          <t>700 g</t>
        </is>
      </c>
      <c r="C8" s="61" t="inlineStr">
        <is>
          <t>sauces + daily 50 g</t>
        </is>
      </c>
    </row>
    <row r="9" ht="16" customHeight="1">
      <c r="A9" s="62" t="inlineStr">
        <is>
          <t>Yeast protein</t>
        </is>
      </c>
      <c r="B9" s="63" t="inlineStr">
        <is>
          <t>7 scoops</t>
        </is>
      </c>
      <c r="C9" s="38" t="inlineStr">
        <is>
          <t>one daily</t>
        </is>
      </c>
    </row>
    <row r="10" ht="16" customHeight="1">
      <c r="A10" s="59" t="inlineStr">
        <is>
          <t>Eggs</t>
        </is>
      </c>
      <c r="B10" s="60" t="inlineStr">
        <is>
          <t>12</t>
        </is>
      </c>
      <c r="C10" s="61" t="inlineStr">
        <is>
          <t>optional</t>
        </is>
      </c>
    </row>
    <row r="11">
      <c r="A11" s="58" t="inlineStr">
        <is>
          <t>VEG — 200 g raw per meal, mixed</t>
        </is>
      </c>
    </row>
    <row r="12" ht="16" customHeight="1">
      <c r="A12" s="59" t="inlineStr">
        <is>
          <t>Broccoli</t>
        </is>
      </c>
      <c r="B12" s="60" t="inlineStr">
        <is>
          <t>500 g</t>
        </is>
      </c>
      <c r="C12" s="61" t="inlineStr"/>
    </row>
    <row r="13" ht="16" customHeight="1">
      <c r="A13" s="62" t="inlineStr">
        <is>
          <t>Zucchini</t>
        </is>
      </c>
      <c r="B13" s="63" t="inlineStr">
        <is>
          <t>400 g</t>
        </is>
      </c>
      <c r="C13" s="38" t="inlineStr"/>
    </row>
    <row r="14" ht="16" customHeight="1">
      <c r="A14" s="59" t="inlineStr">
        <is>
          <t>Capsicum</t>
        </is>
      </c>
      <c r="B14" s="60" t="inlineStr">
        <is>
          <t>400 g</t>
        </is>
      </c>
      <c r="C14" s="61" t="inlineStr"/>
    </row>
    <row r="15" ht="16" customHeight="1">
      <c r="A15" s="62" t="inlineStr">
        <is>
          <t>Carrot</t>
        </is>
      </c>
      <c r="B15" s="63" t="inlineStr">
        <is>
          <t>400 g</t>
        </is>
      </c>
      <c r="C15" s="38" t="inlineStr"/>
    </row>
    <row r="16" ht="16" customHeight="1">
      <c r="A16" s="59" t="inlineStr">
        <is>
          <t>Onion + tomato</t>
        </is>
      </c>
      <c r="B16" s="60" t="inlineStr">
        <is>
          <t>1.2 kg</t>
        </is>
      </c>
      <c r="C16" s="61" t="inlineStr"/>
    </row>
    <row r="17" ht="16" customHeight="1">
      <c r="A17" s="62" t="inlineStr">
        <is>
          <t>Salad leaves + cucumber</t>
        </is>
      </c>
      <c r="B17" s="63" t="inlineStr">
        <is>
          <t>700 g</t>
        </is>
      </c>
      <c r="C17" s="38" t="inlineStr"/>
    </row>
    <row r="18">
      <c r="A18" s="58" t="inlineStr">
        <is>
          <t>CARBS</t>
        </is>
      </c>
    </row>
    <row r="19" ht="16" customHeight="1">
      <c r="A19" s="62" t="inlineStr">
        <is>
          <t>Basmati rice</t>
        </is>
      </c>
      <c r="B19" s="63" t="inlineStr">
        <is>
          <t>700 g dry</t>
        </is>
      </c>
      <c r="C19" s="38" t="inlineStr">
        <is>
          <t>55–60 g per meal</t>
        </is>
      </c>
    </row>
    <row r="20" ht="16" customHeight="1">
      <c r="A20" s="59" t="inlineStr">
        <is>
          <t>Aashirvaad atta</t>
        </is>
      </c>
      <c r="B20" s="60" t="inlineStr">
        <is>
          <t>700 g</t>
        </is>
      </c>
      <c r="C20" s="61" t="inlineStr">
        <is>
          <t>30 g per roti</t>
        </is>
      </c>
    </row>
    <row r="21" ht="16" customHeight="1">
      <c r="A21" s="62" t="inlineStr">
        <is>
          <t>Brown bread — REGULAR, not high-protein</t>
        </is>
      </c>
      <c r="B21" s="63" t="inlineStr">
        <is>
          <t>1 loaf</t>
        </is>
      </c>
      <c r="C21" s="38" t="inlineStr">
        <is>
          <t>more carbs, same calories</t>
        </is>
      </c>
    </row>
    <row r="22" ht="16" customHeight="1">
      <c r="A22" s="59" t="inlineStr">
        <is>
          <t>Wholewheat burger buns — regular</t>
        </is>
      </c>
      <c r="B22" s="60" t="inlineStr">
        <is>
          <t>2</t>
        </is>
      </c>
      <c r="C22" s="61" t="inlineStr"/>
    </row>
    <row r="23" ht="16" customHeight="1">
      <c r="A23" s="62" t="inlineStr">
        <is>
          <t>Pasta</t>
        </is>
      </c>
      <c r="B23" s="63" t="inlineStr">
        <is>
          <t>300 g dry</t>
        </is>
      </c>
      <c r="C23" s="38" t="inlineStr">
        <is>
          <t>65 g per meal</t>
        </is>
      </c>
    </row>
    <row r="24" ht="16" customHeight="1">
      <c r="A24" s="59" t="inlineStr">
        <is>
          <t>Tortillas + corn tortillas</t>
        </is>
      </c>
      <c r="B24" s="60" t="inlineStr">
        <is>
          <t>1 pack each</t>
        </is>
      </c>
      <c r="C24" s="61" t="inlineStr"/>
    </row>
    <row r="25" ht="16" customHeight="1">
      <c r="A25" s="62" t="inlineStr">
        <is>
          <t>Rice paper sheets</t>
        </is>
      </c>
      <c r="B25" s="63" t="inlineStr">
        <is>
          <t>1 pack</t>
        </is>
      </c>
      <c r="C25" s="38" t="inlineStr"/>
    </row>
    <row r="26" ht="16" customHeight="1">
      <c r="A26" s="59" t="inlineStr">
        <is>
          <t>Shirataki (Urban Platter)</t>
        </is>
      </c>
      <c r="B26" s="60" t="inlineStr">
        <is>
          <t>2 packets</t>
        </is>
      </c>
      <c r="C26" s="61" t="inlineStr"/>
    </row>
    <row r="27" ht="16" customHeight="1">
      <c r="A27" s="62" t="inlineStr">
        <is>
          <t>Oats</t>
        </is>
      </c>
      <c r="B27" s="63" t="inlineStr">
        <is>
          <t>500 g</t>
        </is>
      </c>
      <c r="C27" s="38" t="inlineStr">
        <is>
          <t>70 g at breakfast</t>
        </is>
      </c>
    </row>
    <row r="28" ht="16" customHeight="1">
      <c r="A28" s="59" t="inlineStr">
        <is>
          <t>Bananas</t>
        </is>
      </c>
      <c r="B28" s="60" t="inlineStr">
        <is>
          <t>7</t>
        </is>
      </c>
      <c r="C28" s="61" t="inlineStr">
        <is>
          <t>the pre-run carb</t>
        </is>
      </c>
    </row>
    <row r="29" ht="16" customHeight="1">
      <c r="A29" s="62" t="inlineStr">
        <is>
          <t>Other fruit</t>
        </is>
      </c>
      <c r="B29" s="63" t="inlineStr">
        <is>
          <t>7</t>
        </is>
      </c>
      <c r="C29" s="38" t="inlineStr">
        <is>
          <t>2 pieces daily</t>
        </is>
      </c>
    </row>
    <row r="30">
      <c r="A30" s="58" t="inlineStr">
        <is>
          <t>OTHER</t>
        </is>
      </c>
    </row>
    <row r="31" ht="16" customHeight="1">
      <c r="A31" s="62" t="inlineStr">
        <is>
          <t>Almonds</t>
        </is>
      </c>
      <c r="B31" s="63" t="inlineStr">
        <is>
          <t>120 g</t>
        </is>
      </c>
      <c r="C31" s="38" t="inlineStr"/>
    </row>
    <row r="32" ht="16" customHeight="1">
      <c r="A32" s="59" t="inlineStr">
        <is>
          <t>Sriracha, soy, spices, avocado</t>
        </is>
      </c>
      <c r="B32" s="60" t="inlineStr">
        <is>
          <t>as needed</t>
        </is>
      </c>
      <c r="C32" s="61" t="inlineStr">
        <is>
          <t>avocado for the bowl sauce</t>
        </is>
      </c>
    </row>
  </sheetData>
  <mergeCells count="6">
    <mergeCell ref="A11:C11"/>
    <mergeCell ref="A2:E2"/>
    <mergeCell ref="A5:C5"/>
    <mergeCell ref="A18:C18"/>
    <mergeCell ref="A1:E1"/>
    <mergeCell ref="A30:C3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2026-08-17T20:51:51Z</dcterms:created>
  <dcterms:modified xsi:type="dcterms:W3CDTF">2026-08-17T20:52:44Z</dcterms:modified>
</cp:coreProperties>
</file>